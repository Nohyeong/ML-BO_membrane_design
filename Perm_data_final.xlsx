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yeongjeong/Desktop/7_ML-BO/code&amp;data/data/"/>
    </mc:Choice>
  </mc:AlternateContent>
  <xr:revisionPtr revIDLastSave="0" documentId="13_ncr:1_{56934F62-DD8F-3D4B-B5EA-6A73A5A787DD}" xr6:coauthVersionLast="47" xr6:coauthVersionMax="47" xr10:uidLastSave="{00000000-0000-0000-0000-000000000000}"/>
  <bookViews>
    <workbookView xWindow="0" yWindow="740" windowWidth="29400" windowHeight="18380" xr2:uid="{535B6D0A-6D27-624B-ACEC-63C960E720A7}"/>
  </bookViews>
  <sheets>
    <sheet name="Sheet1" sheetId="1" r:id="rId1"/>
  </sheets>
  <definedNames>
    <definedName name="_xlnm._FilterDatabase" localSheetId="0" hidden="1">Sheet1!$A$1:$AQ$432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9" i="1" l="1"/>
  <c r="S5" i="1"/>
  <c r="S371" i="1"/>
  <c r="S370" i="1"/>
  <c r="S184" i="1"/>
  <c r="S183" i="1"/>
  <c r="S182" i="1"/>
  <c r="S165" i="1"/>
  <c r="S164" i="1"/>
  <c r="S59" i="1"/>
  <c r="S75" i="1"/>
  <c r="S74" i="1"/>
  <c r="S58" i="1"/>
  <c r="S73" i="1"/>
  <c r="S72" i="1"/>
  <c r="S115" i="1"/>
  <c r="S71" i="1"/>
  <c r="S41" i="1"/>
  <c r="S27" i="1"/>
  <c r="S114" i="1"/>
  <c r="S119" i="1"/>
  <c r="S40" i="1"/>
  <c r="S65" i="1"/>
  <c r="S39" i="1"/>
  <c r="S52" i="1"/>
  <c r="S51" i="1"/>
  <c r="S70" i="1"/>
  <c r="S113" i="1"/>
  <c r="S181" i="1"/>
  <c r="S69" i="1"/>
  <c r="S64" i="1"/>
  <c r="S63" i="1"/>
  <c r="S57" i="1"/>
  <c r="S112" i="1"/>
  <c r="S328" i="1"/>
  <c r="S327" i="1"/>
  <c r="S418" i="1"/>
  <c r="S429" i="1"/>
  <c r="S431" i="1"/>
  <c r="S2" i="1"/>
  <c r="S4" i="1"/>
  <c r="S3" i="1"/>
  <c r="S7" i="1"/>
  <c r="S6" i="1"/>
  <c r="S8" i="1"/>
  <c r="S10" i="1"/>
  <c r="S9" i="1"/>
  <c r="S14" i="1"/>
  <c r="S13" i="1"/>
  <c r="S12" i="1"/>
  <c r="S11" i="1"/>
  <c r="S15" i="1"/>
  <c r="S17" i="1"/>
  <c r="S16" i="1"/>
  <c r="S18" i="1"/>
  <c r="S23" i="1"/>
  <c r="S22" i="1"/>
  <c r="S21" i="1"/>
  <c r="S20" i="1"/>
  <c r="S26" i="1"/>
  <c r="S25" i="1"/>
  <c r="S24" i="1"/>
  <c r="S30" i="1"/>
  <c r="S29" i="1"/>
  <c r="S28" i="1"/>
  <c r="S38" i="1"/>
  <c r="S37" i="1"/>
  <c r="S36" i="1"/>
  <c r="S35" i="1"/>
  <c r="S34" i="1"/>
  <c r="S33" i="1"/>
  <c r="S32" i="1"/>
  <c r="S50" i="1"/>
  <c r="S49" i="1"/>
  <c r="S48" i="1"/>
  <c r="S47" i="1"/>
  <c r="S46" i="1"/>
  <c r="S45" i="1"/>
  <c r="S44" i="1"/>
  <c r="S43" i="1"/>
  <c r="S56" i="1"/>
  <c r="S55" i="1"/>
  <c r="S54" i="1"/>
  <c r="S53" i="1"/>
  <c r="S62" i="1"/>
  <c r="S61" i="1"/>
  <c r="S60" i="1"/>
  <c r="S68" i="1"/>
  <c r="S67" i="1"/>
  <c r="S88" i="1"/>
  <c r="S87" i="1"/>
  <c r="S86" i="1"/>
  <c r="S124" i="1"/>
  <c r="S163" i="1"/>
  <c r="S173" i="1"/>
  <c r="S213" i="1"/>
  <c r="S217" i="1"/>
  <c r="S85" i="1"/>
  <c r="S84" i="1"/>
  <c r="S83" i="1"/>
  <c r="S82" i="1"/>
  <c r="S101" i="1"/>
  <c r="S100" i="1"/>
  <c r="S99" i="1"/>
  <c r="S98" i="1"/>
  <c r="S97" i="1"/>
  <c r="S96" i="1"/>
  <c r="S95" i="1"/>
  <c r="S243" i="1"/>
  <c r="S242" i="1"/>
  <c r="S94" i="1"/>
  <c r="S93" i="1"/>
  <c r="S92" i="1"/>
  <c r="S91" i="1"/>
  <c r="S106" i="1"/>
  <c r="S105" i="1"/>
  <c r="S104" i="1"/>
  <c r="S103" i="1"/>
  <c r="S111" i="1"/>
  <c r="S110" i="1"/>
  <c r="S109" i="1"/>
  <c r="S108" i="1"/>
  <c r="S107" i="1"/>
  <c r="S118" i="1"/>
  <c r="S117" i="1"/>
  <c r="S262" i="1"/>
  <c r="S123" i="1"/>
  <c r="S122" i="1"/>
  <c r="S121" i="1"/>
  <c r="S120" i="1"/>
  <c r="S133" i="1"/>
  <c r="S132" i="1"/>
  <c r="S317" i="1"/>
  <c r="S321" i="1"/>
  <c r="S131" i="1"/>
  <c r="S130" i="1"/>
  <c r="S129" i="1"/>
  <c r="S128" i="1"/>
  <c r="S127" i="1"/>
  <c r="S141" i="1"/>
  <c r="S140" i="1"/>
  <c r="S320" i="1"/>
  <c r="S326" i="1"/>
  <c r="S139" i="1"/>
  <c r="S138" i="1"/>
  <c r="S137" i="1"/>
  <c r="S136" i="1"/>
  <c r="S152" i="1"/>
  <c r="S151" i="1"/>
  <c r="S397" i="1"/>
  <c r="S413" i="1"/>
  <c r="S150" i="1"/>
  <c r="S149" i="1"/>
  <c r="S148" i="1"/>
  <c r="S147" i="1"/>
  <c r="S146" i="1"/>
  <c r="S145" i="1"/>
  <c r="S144" i="1"/>
  <c r="S157" i="1"/>
  <c r="S31" i="1"/>
  <c r="S162" i="1"/>
  <c r="S81" i="1"/>
  <c r="S156" i="1"/>
  <c r="S155" i="1"/>
  <c r="S161" i="1"/>
  <c r="S160" i="1"/>
  <c r="S80" i="1"/>
  <c r="S159" i="1"/>
  <c r="S79" i="1"/>
  <c r="S172" i="1"/>
  <c r="S171" i="1"/>
  <c r="S170" i="1"/>
  <c r="S169" i="1"/>
  <c r="S168" i="1"/>
  <c r="S167" i="1"/>
  <c r="S177" i="1"/>
  <c r="S176" i="1"/>
  <c r="S175" i="1"/>
  <c r="S174" i="1"/>
  <c r="S180" i="1"/>
  <c r="S179" i="1"/>
  <c r="S178" i="1"/>
  <c r="S188" i="1"/>
  <c r="S78" i="1"/>
  <c r="S187" i="1"/>
  <c r="S186" i="1"/>
  <c r="S192" i="1"/>
  <c r="S77" i="1"/>
  <c r="S90" i="1"/>
  <c r="S191" i="1"/>
  <c r="S197" i="1"/>
  <c r="S196" i="1"/>
  <c r="S195" i="1"/>
  <c r="S194" i="1"/>
  <c r="S193" i="1"/>
  <c r="S203" i="1"/>
  <c r="S202" i="1"/>
  <c r="S201" i="1"/>
  <c r="S89" i="1"/>
  <c r="S200" i="1"/>
  <c r="S199" i="1"/>
  <c r="S205" i="1"/>
  <c r="S126" i="1"/>
  <c r="S212" i="1"/>
  <c r="S211" i="1"/>
  <c r="S210" i="1"/>
  <c r="S125" i="1"/>
  <c r="S135" i="1"/>
  <c r="S134" i="1"/>
  <c r="S209" i="1"/>
  <c r="S208" i="1"/>
  <c r="S143" i="1"/>
  <c r="S142" i="1"/>
  <c r="S216" i="1"/>
  <c r="S215" i="1"/>
  <c r="S221" i="1"/>
  <c r="S220" i="1"/>
  <c r="S219" i="1"/>
  <c r="S218" i="1"/>
  <c r="S227" i="1"/>
  <c r="S226" i="1"/>
  <c r="S225" i="1"/>
  <c r="S224" i="1"/>
  <c r="S223" i="1"/>
  <c r="S232" i="1"/>
  <c r="S231" i="1"/>
  <c r="S154" i="1"/>
  <c r="S230" i="1"/>
  <c r="S229" i="1"/>
  <c r="S241" i="1"/>
  <c r="S240" i="1"/>
  <c r="S239" i="1"/>
  <c r="S238" i="1"/>
  <c r="S237" i="1"/>
  <c r="S153" i="1"/>
  <c r="S185" i="1"/>
  <c r="S236" i="1"/>
  <c r="S235" i="1"/>
  <c r="S234" i="1"/>
  <c r="S233" i="1"/>
  <c r="S245" i="1"/>
  <c r="S244" i="1"/>
  <c r="S252" i="1"/>
  <c r="S190" i="1"/>
  <c r="S251" i="1"/>
  <c r="S250" i="1"/>
  <c r="S249" i="1"/>
  <c r="S248" i="1"/>
  <c r="S247" i="1"/>
  <c r="S189" i="1"/>
  <c r="S257" i="1"/>
  <c r="S256" i="1"/>
  <c r="S255" i="1"/>
  <c r="S272" i="1"/>
  <c r="S198" i="1"/>
  <c r="S204" i="1"/>
  <c r="S261" i="1"/>
  <c r="S260" i="1"/>
  <c r="S259" i="1"/>
  <c r="S271" i="1"/>
  <c r="S270" i="1"/>
  <c r="S269" i="1"/>
  <c r="S268" i="1"/>
  <c r="S267" i="1"/>
  <c r="S266" i="1"/>
  <c r="S265" i="1"/>
  <c r="S264" i="1"/>
  <c r="S263" i="1"/>
  <c r="S276" i="1"/>
  <c r="S275" i="1"/>
  <c r="S274" i="1"/>
  <c r="S273" i="1"/>
  <c r="S278" i="1"/>
  <c r="S277" i="1"/>
  <c r="S281" i="1"/>
  <c r="S280" i="1"/>
  <c r="S279" i="1"/>
  <c r="S286" i="1"/>
  <c r="S285" i="1"/>
  <c r="S284" i="1"/>
  <c r="S283" i="1"/>
  <c r="S282" i="1"/>
  <c r="S294" i="1"/>
  <c r="S293" i="1"/>
  <c r="S292" i="1"/>
  <c r="S291" i="1"/>
  <c r="S290" i="1"/>
  <c r="S289" i="1"/>
  <c r="S288" i="1"/>
  <c r="S301" i="1"/>
  <c r="S300" i="1"/>
  <c r="S299" i="1"/>
  <c r="S298" i="1"/>
  <c r="S297" i="1"/>
  <c r="S296" i="1"/>
  <c r="S295" i="1"/>
  <c r="S303" i="1"/>
  <c r="S302" i="1"/>
  <c r="S305" i="1"/>
  <c r="S304" i="1"/>
  <c r="S311" i="1"/>
  <c r="S310" i="1"/>
  <c r="S309" i="1"/>
  <c r="S308" i="1"/>
  <c r="S307" i="1"/>
  <c r="S306" i="1"/>
  <c r="S316" i="1"/>
  <c r="S315" i="1"/>
  <c r="S314" i="1"/>
  <c r="S313" i="1"/>
  <c r="S207" i="1"/>
  <c r="S312" i="1"/>
  <c r="S323" i="1"/>
  <c r="S206" i="1"/>
  <c r="S214" i="1"/>
  <c r="S319" i="1"/>
  <c r="S318" i="1"/>
  <c r="S322" i="1"/>
  <c r="S228" i="1"/>
  <c r="S325" i="1"/>
  <c r="S324" i="1"/>
  <c r="S332" i="1"/>
  <c r="S331" i="1"/>
  <c r="S330" i="1"/>
  <c r="S329" i="1"/>
  <c r="S336" i="1"/>
  <c r="S335" i="1"/>
  <c r="S334" i="1"/>
  <c r="S333" i="1"/>
  <c r="S339" i="1"/>
  <c r="S338" i="1"/>
  <c r="S337" i="1"/>
  <c r="S342" i="1"/>
  <c r="S341" i="1"/>
  <c r="S340" i="1"/>
  <c r="S343" i="1"/>
  <c r="S345" i="1"/>
  <c r="S344" i="1"/>
  <c r="S347" i="1"/>
  <c r="S346" i="1"/>
  <c r="S348" i="1"/>
  <c r="S351" i="1"/>
  <c r="S350" i="1"/>
  <c r="S349" i="1"/>
  <c r="S352" i="1"/>
  <c r="S356" i="1"/>
  <c r="S355" i="1"/>
  <c r="S354" i="1"/>
  <c r="S353" i="1"/>
  <c r="S357" i="1"/>
  <c r="S362" i="1"/>
  <c r="S361" i="1"/>
  <c r="S360" i="1"/>
  <c r="S359" i="1"/>
  <c r="S358" i="1"/>
  <c r="S363" i="1"/>
  <c r="S365" i="1"/>
  <c r="S364" i="1"/>
  <c r="S369" i="1"/>
  <c r="S368" i="1"/>
  <c r="S367" i="1"/>
  <c r="S366" i="1"/>
  <c r="S375" i="1"/>
  <c r="S374" i="1"/>
  <c r="S373" i="1"/>
  <c r="S372" i="1"/>
  <c r="S378" i="1"/>
  <c r="S377" i="1"/>
  <c r="S376" i="1"/>
  <c r="S380" i="1"/>
  <c r="S379" i="1"/>
  <c r="S383" i="1"/>
  <c r="S382" i="1"/>
  <c r="S381" i="1"/>
  <c r="S389" i="1"/>
  <c r="S388" i="1"/>
  <c r="S387" i="1"/>
  <c r="S386" i="1"/>
  <c r="S385" i="1"/>
  <c r="S392" i="1"/>
  <c r="S391" i="1"/>
  <c r="S390" i="1"/>
  <c r="S394" i="1"/>
  <c r="S393" i="1"/>
  <c r="S396" i="1"/>
  <c r="S246" i="1"/>
  <c r="S395" i="1"/>
  <c r="S398" i="1"/>
  <c r="S400" i="1"/>
  <c r="S399" i="1"/>
  <c r="S402" i="1"/>
  <c r="S401" i="1"/>
  <c r="S405" i="1"/>
  <c r="S404" i="1"/>
  <c r="S403" i="1"/>
  <c r="S406" i="1"/>
  <c r="S408" i="1"/>
  <c r="S407" i="1"/>
  <c r="S409" i="1"/>
  <c r="S410" i="1"/>
  <c r="S411" i="1"/>
  <c r="S254" i="1"/>
  <c r="S412" i="1"/>
  <c r="S422" i="1"/>
  <c r="S414" i="1"/>
  <c r="S417" i="1"/>
  <c r="S416" i="1"/>
  <c r="S415" i="1"/>
  <c r="S420" i="1"/>
  <c r="S421" i="1"/>
  <c r="S424" i="1"/>
  <c r="S423" i="1"/>
  <c r="S426" i="1"/>
  <c r="S425" i="1"/>
  <c r="S427" i="1"/>
  <c r="S428" i="1"/>
  <c r="S430" i="1"/>
  <c r="S42" i="1"/>
  <c r="S116" i="1"/>
  <c r="S158" i="1"/>
  <c r="S166" i="1"/>
  <c r="S384" i="1"/>
  <c r="S19" i="1"/>
  <c r="S76" i="1"/>
  <c r="S432" i="1"/>
  <c r="S287" i="1"/>
  <c r="S258" i="1"/>
  <c r="S66" i="1"/>
  <c r="S102" i="1"/>
  <c r="S253" i="1"/>
  <c r="S222" i="1"/>
</calcChain>
</file>

<file path=xl/sharedStrings.xml><?xml version="1.0" encoding="utf-8"?>
<sst xmlns="http://schemas.openxmlformats.org/spreadsheetml/2006/main" count="8130" uniqueCount="165">
  <si>
    <t>Monomer A1 type</t>
  </si>
  <si>
    <t>a1-smile</t>
  </si>
  <si>
    <t>monomer_a_Mw</t>
  </si>
  <si>
    <t>Monomer A2 type</t>
  </si>
  <si>
    <t>a2-smile</t>
  </si>
  <si>
    <t>monomer_a2_Mw</t>
  </si>
  <si>
    <t>A1/A2 ratio</t>
  </si>
  <si>
    <t>Monomer A concentration, wt%</t>
  </si>
  <si>
    <t>Monomer B type</t>
  </si>
  <si>
    <t>b-smile</t>
  </si>
  <si>
    <t>monomer_b_Mw</t>
  </si>
  <si>
    <t>Monomer B concentration, wt%</t>
  </si>
  <si>
    <t>Organic solvent type</t>
  </si>
  <si>
    <t>Additive X1 in aqueous</t>
  </si>
  <si>
    <t>Additive X1 concentration, wt%</t>
  </si>
  <si>
    <t>Additive X2 type in aqueous phase</t>
  </si>
  <si>
    <t>Additive X2 concentration, wt%</t>
  </si>
  <si>
    <t>monomer_tot_wt</t>
  </si>
  <si>
    <t>mol_ratio</t>
  </si>
  <si>
    <t>Aqueous phase pH</t>
  </si>
  <si>
    <t>Additive Y type in organic  phase</t>
  </si>
  <si>
    <t>Y-smiles</t>
  </si>
  <si>
    <t>Additive Y concentration, wt%</t>
  </si>
  <si>
    <t>Heat curing time, min</t>
  </si>
  <si>
    <t>Heat curing termperature, degree</t>
  </si>
  <si>
    <t>Transmembrane pressure, bar</t>
  </si>
  <si>
    <t>salt_concentration</t>
  </si>
  <si>
    <t>cation</t>
  </si>
  <si>
    <t>anion</t>
  </si>
  <si>
    <t>cat_val</t>
  </si>
  <si>
    <t>cat_r</t>
  </si>
  <si>
    <t>cat_hyd_r</t>
  </si>
  <si>
    <t>cat_hyd_e</t>
  </si>
  <si>
    <t>an_val</t>
  </si>
  <si>
    <t>an_r</t>
  </si>
  <si>
    <t>an_hyd_r</t>
  </si>
  <si>
    <t>an_hyd_e</t>
  </si>
  <si>
    <t>Polymerization time, s</t>
  </si>
  <si>
    <t>Pure_water_flux, LMH/bar</t>
  </si>
  <si>
    <t>Permeability, LMH/bar</t>
  </si>
  <si>
    <t>DOI</t>
  </si>
  <si>
    <t>Done</t>
  </si>
  <si>
    <t>Piperazine</t>
  </si>
  <si>
    <t>C1CNCCN1</t>
  </si>
  <si>
    <t>-</t>
  </si>
  <si>
    <t>trimesoyl chloride (265.5)</t>
  </si>
  <si>
    <t>C1=C(C=C(C=C1C(=O)Cl)C(=O)Cl)C(=O)Cl</t>
  </si>
  <si>
    <t>hexane</t>
  </si>
  <si>
    <t>C</t>
  </si>
  <si>
    <t>Na+</t>
  </si>
  <si>
    <t>SO42-</t>
  </si>
  <si>
    <t>10.1016/j.jiec.2018.05.032</t>
  </si>
  <si>
    <t>Cl-</t>
  </si>
  <si>
    <t>10.1016/j.jiec.2018.05.033</t>
  </si>
  <si>
    <t>m-phenylenediamine</t>
  </si>
  <si>
    <t>C1=CC(=CC(=C1)N)N</t>
  </si>
  <si>
    <t>isophthaloyal  chloride  (203.02)</t>
  </si>
  <si>
    <t>C1=CC(=CC(=C1)C(=O)Cl)C(=O)Cl</t>
  </si>
  <si>
    <t>doi.org/10.1016/j.memsci.2009.06.025</t>
  </si>
  <si>
    <t>Polyethyleneimine</t>
  </si>
  <si>
    <t>NCC</t>
  </si>
  <si>
    <t>sodium dodecyl sulfate</t>
  </si>
  <si>
    <t>10.1016/j.memsci.2014.08.055</t>
  </si>
  <si>
    <t>4,4’-isopropylidenediphenol</t>
  </si>
  <si>
    <t>CC(C)(C1=CC=C(C=C1)O)C2=CC=C(C=C2)O</t>
  </si>
  <si>
    <t>10.1002/app.21157</t>
  </si>
  <si>
    <t>10.1016/j.memsci.2019.117316</t>
  </si>
  <si>
    <t>Bis-2, 6-N, N-(2-hydroxyethyl) diaminotoluene</t>
  </si>
  <si>
    <t>CC1=C(C=CC=C1NCCO)NCCO</t>
  </si>
  <si>
    <t>Mg2+</t>
  </si>
  <si>
    <t>10.1016/j.desal.2013.10.006</t>
  </si>
  <si>
    <t>Triethylamine</t>
  </si>
  <si>
    <t>CCN(CC)CC</t>
  </si>
  <si>
    <t>doi.org/10.1016/j.memsci.2010.08.033</t>
  </si>
  <si>
    <t>Bisphenol F</t>
  </si>
  <si>
    <t>C1=CC(=CC=C1CC2=CC=C(C=C2)O)O</t>
  </si>
  <si>
    <t>10.1016/j.seppur.2019.115718</t>
  </si>
  <si>
    <t>1,4-Diaminocyclohexane</t>
  </si>
  <si>
    <t>C1CC(CCC1N)N</t>
  </si>
  <si>
    <t>sodium N-cyclohexylsulfamate </t>
  </si>
  <si>
    <t>10.1039/C5RA02560E</t>
  </si>
  <si>
    <t>silica</t>
  </si>
  <si>
    <t>10.1016/j.desal.2012.06.015</t>
  </si>
  <si>
    <t>1-Octyl-3-methyl-imidazolium chloride</t>
  </si>
  <si>
    <t>toluene</t>
  </si>
  <si>
    <t>NaOH</t>
  </si>
  <si>
    <t>Ca2+</t>
  </si>
  <si>
    <t>10.1016/j.memsci.2011.05.015</t>
  </si>
  <si>
    <t>10.1038/s41467-020-15771-2</t>
  </si>
  <si>
    <t>Pentaerythritol</t>
  </si>
  <si>
    <t>C(C(CO)(CO)CO)O</t>
  </si>
  <si>
    <t>sodium phosphate</t>
  </si>
  <si>
    <t>10.1016/j.apsusc.2017.04.173</t>
  </si>
  <si>
    <t>10.1016/j.desal.2010.02.034</t>
  </si>
  <si>
    <t>heptane</t>
  </si>
  <si>
    <t>10.1039/C6RA21192E</t>
  </si>
  <si>
    <t>N,N-Diaminopiperazine</t>
  </si>
  <si>
    <t>C1CN(CCN1N)N</t>
  </si>
  <si>
    <t>cyclohexane</t>
  </si>
  <si>
    <t>10.1016/j.memsci.2005.12.014</t>
  </si>
  <si>
    <t>10.1016/j.memsci.2017.12.040</t>
  </si>
  <si>
    <t>10.1016/j.desal.2014.05.007</t>
  </si>
  <si>
    <t>doi.org/10.1016/j.cej.2018.10.147</t>
  </si>
  <si>
    <t>10.1021/acs.est.8b04102</t>
  </si>
  <si>
    <t>doi.org/10.1016/j.jhazmat.2017.09.016</t>
  </si>
  <si>
    <t>10.1016/j.apsusc.2012.05.153</t>
  </si>
  <si>
    <t>CCCCCCCCCCCCOS(=O)(=O)O.[Na+]</t>
  </si>
  <si>
    <t>doi.org/10.1016/j.memsci.2009.07.033</t>
  </si>
  <si>
    <t>1,3-cyclohexanebis(methylamine)</t>
  </si>
  <si>
    <t>C1CC(CC(C1)CN)CN</t>
  </si>
  <si>
    <t>10.1016/j.memsci.2007.10.004</t>
  </si>
  <si>
    <t>Isoparaphin-G</t>
  </si>
  <si>
    <t>10.1016/j.memsci.2009.03.011</t>
  </si>
  <si>
    <t xml:space="preserve">cyclohexane </t>
  </si>
  <si>
    <t>10.1016/j.memsci.2010.10.060</t>
  </si>
  <si>
    <t>Al3+</t>
  </si>
  <si>
    <t>Naphthalene-1,3,6-trisulfonylchloride (423.7)</t>
  </si>
  <si>
    <t>C1=CC2=C(C=C(C=C2C=C1S(=O)(=O)Cl)S(=O)(=O)Cl)S(=O)(=O)Cl</t>
  </si>
  <si>
    <t>triethylamine</t>
  </si>
  <si>
    <t>ethylene glycol monomethyl ether</t>
  </si>
  <si>
    <t>COCCO</t>
  </si>
  <si>
    <t>10.1016/j.memsci.2012.04.043</t>
  </si>
  <si>
    <t>2,2′-Oxybis-ethylamine</t>
  </si>
  <si>
    <t>CN(C)CCOCCN(C)C</t>
  </si>
  <si>
    <t>10.1016/j.desal.2014.10.036</t>
  </si>
  <si>
    <t>10.1016/j.memsci.2017.11.057</t>
  </si>
  <si>
    <t>10.1016/j.cej.2018.10.147</t>
  </si>
  <si>
    <t>Cu2+</t>
  </si>
  <si>
    <t>10.1021/acsami.6b14412</t>
  </si>
  <si>
    <t>cetyltrimethylammonium bromide</t>
  </si>
  <si>
    <t>CCCCCCCCCCCCCCCC[N+](C)(C)C.[Br-]</t>
  </si>
  <si>
    <t>triton X-100</t>
  </si>
  <si>
    <t>CC(C)(C)CC(C)(C)C1=CC=C(C=C1)OCCO</t>
  </si>
  <si>
    <t>10.1039/C6TA00005C</t>
  </si>
  <si>
    <t>10.1016/j.desal.2013.08.021</t>
  </si>
  <si>
    <t>3,5-diaminobenzoic acid</t>
  </si>
  <si>
    <t>C1=C(C=C(C=C1N)N)C(=O)O</t>
  </si>
  <si>
    <t>10.1016/j.memsci.2005.01.021</t>
  </si>
  <si>
    <t>10.1016/j.seppur.2016.04.024</t>
  </si>
  <si>
    <t>10.1021/acsami.0c13386</t>
  </si>
  <si>
    <t>10.1016/j.memsci.2012.12.043</t>
  </si>
  <si>
    <t>Beta-cyclodextrin</t>
  </si>
  <si>
    <t>K+</t>
  </si>
  <si>
    <t>10.1016/j.reactfunctpolym.2014.08.009</t>
  </si>
  <si>
    <t>1,4-Bis(3-aminopropyl)-piperazine</t>
  </si>
  <si>
    <t>C1CN(CCN1CCCN)CCCN</t>
  </si>
  <si>
    <t>N-(2-Aminoethyl)-piperazine</t>
  </si>
  <si>
    <t>C1CN(CCN1)CCN</t>
  </si>
  <si>
    <t>10.1016/j.memsci.2018.07.044</t>
  </si>
  <si>
    <t xml:space="preserve">1-Butyl-3-methyl-imidazolium chloride </t>
  </si>
  <si>
    <t>Li+</t>
  </si>
  <si>
    <t>10.1038/s41467-024-46887-4</t>
  </si>
  <si>
    <t>Dodecyl dihydrogen phosphate</t>
  </si>
  <si>
    <t>CCCCCCCCCCCCOP(=O)(O)O</t>
  </si>
  <si>
    <t>dimethyl sulfoxide</t>
  </si>
  <si>
    <t>10.1016/j.desal.2015.04.027</t>
  </si>
  <si>
    <t>polyhydroxylated fullerene</t>
  </si>
  <si>
    <t>10.1002/APP.48029</t>
  </si>
  <si>
    <t>1,2-Diaminopropane</t>
  </si>
  <si>
    <t>CC(CN)N</t>
  </si>
  <si>
    <t>Exp</t>
  </si>
  <si>
    <t>Diethanolamine</t>
  </si>
  <si>
    <t>C(CO)NCCO</t>
  </si>
  <si>
    <t>doi.org/10.1016/j.seppur.2022.122968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</si>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</sst>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A8EC-A1E0-FC47-986D-81C6CF4049A9}">
  <dimension ref="A1:AQ432"/>
  <sheetViews>
    <sheetView tabSelected="1" zoomScale="257" workbookViewId="0">
      <pane xSplit="1" ySplit="1" topLeftCell="D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1" max="1" width="14.5" customWidth="1"/>
  </cols>
  <sheetData>
    <row r="1" spans="1:4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1" t="s">
        <v>164</v>
      </c>
    </row>
    <row r="2" spans="1:43" x14ac:dyDescent="0.2">
      <c r="A2" t="s">
        <v>42</v>
      </c>
      <c r="B2" t="s">
        <v>43</v>
      </c>
      <c r="C2">
        <v>86.14</v>
      </c>
      <c r="D2" t="s">
        <v>44</v>
      </c>
      <c r="G2" t="s">
        <v>44</v>
      </c>
      <c r="H2">
        <v>3</v>
      </c>
      <c r="I2" t="s">
        <v>45</v>
      </c>
      <c r="J2" t="s">
        <v>46</v>
      </c>
      <c r="K2">
        <v>265.5</v>
      </c>
      <c r="L2">
        <v>0.6</v>
      </c>
      <c r="M2" t="s">
        <v>47</v>
      </c>
      <c r="N2" t="s">
        <v>44</v>
      </c>
      <c r="O2" t="s">
        <v>44</v>
      </c>
      <c r="P2" t="s">
        <v>44</v>
      </c>
      <c r="Q2" t="s">
        <v>44</v>
      </c>
      <c r="R2">
        <v>3.6</v>
      </c>
      <c r="S2" s="5">
        <f t="shared" ref="S2:S64" si="0">ROUND(IF(G2="-", (H2/C2)/(L2/K2), ((G2*H2/C2) + (H2/F2)) / (1+G2) / (L2/K2)),2)</f>
        <v>15.41</v>
      </c>
      <c r="T2">
        <v>9.5</v>
      </c>
      <c r="U2" t="s">
        <v>44</v>
      </c>
      <c r="V2" t="s">
        <v>48</v>
      </c>
      <c r="W2" t="s">
        <v>44</v>
      </c>
      <c r="X2">
        <v>20</v>
      </c>
      <c r="Y2">
        <v>75</v>
      </c>
      <c r="Z2">
        <v>8</v>
      </c>
      <c r="AA2">
        <v>500</v>
      </c>
      <c r="AB2" t="s">
        <v>69</v>
      </c>
      <c r="AC2" t="s">
        <v>52</v>
      </c>
      <c r="AD2">
        <v>2</v>
      </c>
      <c r="AE2">
        <v>7.1999999999999995E-2</v>
      </c>
      <c r="AF2">
        <v>0.42799999999999999</v>
      </c>
      <c r="AG2">
        <v>-1830</v>
      </c>
      <c r="AH2">
        <v>-1</v>
      </c>
      <c r="AI2">
        <v>0.18099999999999999</v>
      </c>
      <c r="AJ2">
        <v>0.33200000000000002</v>
      </c>
      <c r="AK2">
        <v>-340</v>
      </c>
      <c r="AL2">
        <v>1800</v>
      </c>
      <c r="AM2" t="s">
        <v>44</v>
      </c>
      <c r="AN2">
        <v>0.4</v>
      </c>
      <c r="AO2" t="s">
        <v>143</v>
      </c>
      <c r="AP2">
        <v>1</v>
      </c>
      <c r="AQ2">
        <v>392</v>
      </c>
    </row>
    <row r="3" spans="1:43" x14ac:dyDescent="0.2">
      <c r="A3" t="s">
        <v>42</v>
      </c>
      <c r="B3" t="s">
        <v>43</v>
      </c>
      <c r="C3">
        <v>86.14</v>
      </c>
      <c r="D3" t="s">
        <v>44</v>
      </c>
      <c r="G3" t="s">
        <v>44</v>
      </c>
      <c r="H3">
        <v>3</v>
      </c>
      <c r="I3" t="s">
        <v>45</v>
      </c>
      <c r="J3" t="s">
        <v>46</v>
      </c>
      <c r="K3">
        <v>265.5</v>
      </c>
      <c r="L3">
        <v>0.6</v>
      </c>
      <c r="M3" t="s">
        <v>47</v>
      </c>
      <c r="N3" t="s">
        <v>44</v>
      </c>
      <c r="O3" t="s">
        <v>44</v>
      </c>
      <c r="P3" t="s">
        <v>44</v>
      </c>
      <c r="Q3" t="s">
        <v>44</v>
      </c>
      <c r="R3">
        <v>3.6</v>
      </c>
      <c r="S3" s="5">
        <f t="shared" si="0"/>
        <v>15.41</v>
      </c>
      <c r="T3">
        <v>9.5</v>
      </c>
      <c r="U3" t="s">
        <v>44</v>
      </c>
      <c r="V3" t="s">
        <v>48</v>
      </c>
      <c r="W3" t="s">
        <v>44</v>
      </c>
      <c r="X3">
        <v>20</v>
      </c>
      <c r="Y3">
        <v>75</v>
      </c>
      <c r="Z3">
        <v>8</v>
      </c>
      <c r="AA3">
        <v>500</v>
      </c>
      <c r="AB3" t="s">
        <v>69</v>
      </c>
      <c r="AC3" t="s">
        <v>50</v>
      </c>
      <c r="AD3">
        <v>2</v>
      </c>
      <c r="AE3">
        <v>7.1999999999999995E-2</v>
      </c>
      <c r="AF3">
        <v>0.42799999999999999</v>
      </c>
      <c r="AG3">
        <v>-1830</v>
      </c>
      <c r="AH3">
        <v>-2</v>
      </c>
      <c r="AI3">
        <v>0.23</v>
      </c>
      <c r="AJ3">
        <v>0.379</v>
      </c>
      <c r="AK3">
        <v>-1080</v>
      </c>
      <c r="AL3">
        <v>1800</v>
      </c>
      <c r="AM3" t="s">
        <v>44</v>
      </c>
      <c r="AN3">
        <v>0.5</v>
      </c>
      <c r="AO3" t="s">
        <v>143</v>
      </c>
      <c r="AP3">
        <v>1</v>
      </c>
      <c r="AQ3">
        <v>390</v>
      </c>
    </row>
    <row r="4" spans="1:43" x14ac:dyDescent="0.2">
      <c r="A4" t="s">
        <v>42</v>
      </c>
      <c r="B4" t="s">
        <v>43</v>
      </c>
      <c r="C4">
        <v>86.14</v>
      </c>
      <c r="D4" t="s">
        <v>44</v>
      </c>
      <c r="G4" t="s">
        <v>44</v>
      </c>
      <c r="H4">
        <v>3</v>
      </c>
      <c r="I4" t="s">
        <v>45</v>
      </c>
      <c r="J4" t="s">
        <v>46</v>
      </c>
      <c r="K4">
        <v>265.5</v>
      </c>
      <c r="L4">
        <v>0.6</v>
      </c>
      <c r="M4" t="s">
        <v>47</v>
      </c>
      <c r="N4" t="s">
        <v>44</v>
      </c>
      <c r="O4" t="s">
        <v>44</v>
      </c>
      <c r="P4" t="s">
        <v>44</v>
      </c>
      <c r="Q4" t="s">
        <v>44</v>
      </c>
      <c r="R4">
        <v>3.6</v>
      </c>
      <c r="S4" s="5">
        <f t="shared" si="0"/>
        <v>15.41</v>
      </c>
      <c r="T4">
        <v>9.5</v>
      </c>
      <c r="U4" t="s">
        <v>44</v>
      </c>
      <c r="V4" t="s">
        <v>48</v>
      </c>
      <c r="W4" t="s">
        <v>44</v>
      </c>
      <c r="X4">
        <v>20</v>
      </c>
      <c r="Y4">
        <v>75</v>
      </c>
      <c r="Z4">
        <v>8</v>
      </c>
      <c r="AA4">
        <v>500</v>
      </c>
      <c r="AB4" t="s">
        <v>49</v>
      </c>
      <c r="AC4" t="s">
        <v>50</v>
      </c>
      <c r="AD4">
        <v>1</v>
      </c>
      <c r="AE4">
        <v>0.10199999999999999</v>
      </c>
      <c r="AF4">
        <v>0.35799999999999998</v>
      </c>
      <c r="AG4">
        <v>-365</v>
      </c>
      <c r="AH4">
        <v>-2</v>
      </c>
      <c r="AI4">
        <v>0.23</v>
      </c>
      <c r="AJ4">
        <v>0.379</v>
      </c>
      <c r="AK4">
        <v>-1080</v>
      </c>
      <c r="AL4">
        <v>1800</v>
      </c>
      <c r="AM4" t="s">
        <v>44</v>
      </c>
      <c r="AN4">
        <v>0.5</v>
      </c>
      <c r="AO4" t="s">
        <v>143</v>
      </c>
      <c r="AP4">
        <v>1</v>
      </c>
      <c r="AQ4">
        <v>391</v>
      </c>
    </row>
    <row r="5" spans="1:43" x14ac:dyDescent="0.2">
      <c r="A5" t="s">
        <v>158</v>
      </c>
      <c r="B5" t="s">
        <v>159</v>
      </c>
      <c r="C5">
        <v>74.13</v>
      </c>
      <c r="D5" t="s">
        <v>161</v>
      </c>
      <c r="E5" t="s">
        <v>162</v>
      </c>
      <c r="F5">
        <v>105.14</v>
      </c>
      <c r="G5">
        <v>4</v>
      </c>
      <c r="H5">
        <v>2.5299999999999998</v>
      </c>
      <c r="I5" t="s">
        <v>45</v>
      </c>
      <c r="J5" t="s">
        <v>46</v>
      </c>
      <c r="K5">
        <v>265.5</v>
      </c>
      <c r="L5">
        <v>0.24299999999999999</v>
      </c>
      <c r="M5" t="s">
        <v>47</v>
      </c>
      <c r="N5" t="s">
        <v>61</v>
      </c>
      <c r="O5">
        <v>0.1</v>
      </c>
      <c r="P5" t="s">
        <v>44</v>
      </c>
      <c r="Q5" t="s">
        <v>44</v>
      </c>
      <c r="R5">
        <v>2.7730000000000001</v>
      </c>
      <c r="S5" s="5">
        <f t="shared" si="0"/>
        <v>35.090000000000003</v>
      </c>
      <c r="T5" t="s">
        <v>44</v>
      </c>
      <c r="U5" t="s">
        <v>44</v>
      </c>
      <c r="V5" t="s">
        <v>48</v>
      </c>
      <c r="W5" t="s">
        <v>44</v>
      </c>
      <c r="X5">
        <v>10</v>
      </c>
      <c r="Y5">
        <v>60</v>
      </c>
      <c r="Z5">
        <v>5</v>
      </c>
      <c r="AA5">
        <v>1000</v>
      </c>
      <c r="AB5" t="s">
        <v>150</v>
      </c>
      <c r="AC5" t="s">
        <v>52</v>
      </c>
      <c r="AD5">
        <v>1</v>
      </c>
      <c r="AE5">
        <v>6.9000000000000006E-2</v>
      </c>
      <c r="AF5">
        <v>0.38200000000000001</v>
      </c>
      <c r="AG5">
        <v>-475</v>
      </c>
      <c r="AH5">
        <v>-1</v>
      </c>
      <c r="AI5">
        <v>0.18099999999999999</v>
      </c>
      <c r="AJ5">
        <v>0.33200000000000002</v>
      </c>
      <c r="AK5">
        <v>-340</v>
      </c>
      <c r="AL5">
        <v>120</v>
      </c>
      <c r="AM5" t="s">
        <v>44</v>
      </c>
      <c r="AN5">
        <v>0.5</v>
      </c>
      <c r="AO5" t="s">
        <v>160</v>
      </c>
      <c r="AP5">
        <v>1</v>
      </c>
      <c r="AQ5">
        <v>431</v>
      </c>
    </row>
    <row r="6" spans="1:43" x14ac:dyDescent="0.2">
      <c r="A6" t="s">
        <v>89</v>
      </c>
      <c r="B6" t="s">
        <v>90</v>
      </c>
      <c r="C6">
        <v>136.15</v>
      </c>
      <c r="D6" t="s">
        <v>44</v>
      </c>
      <c r="G6" t="s">
        <v>44</v>
      </c>
      <c r="H6">
        <v>7</v>
      </c>
      <c r="I6" t="s">
        <v>45</v>
      </c>
      <c r="J6" t="s">
        <v>46</v>
      </c>
      <c r="K6">
        <v>265.5</v>
      </c>
      <c r="L6">
        <v>0.45700000000000002</v>
      </c>
      <c r="M6" t="s">
        <v>47</v>
      </c>
      <c r="N6" t="s">
        <v>44</v>
      </c>
      <c r="O6" t="s">
        <v>44</v>
      </c>
      <c r="P6" t="s">
        <v>91</v>
      </c>
      <c r="Q6" t="s">
        <v>44</v>
      </c>
      <c r="R6">
        <v>7.4569999999999999</v>
      </c>
      <c r="S6" s="5">
        <f t="shared" si="0"/>
        <v>29.87</v>
      </c>
      <c r="T6">
        <v>12</v>
      </c>
      <c r="U6" t="s">
        <v>44</v>
      </c>
      <c r="V6" t="s">
        <v>48</v>
      </c>
      <c r="W6" t="s">
        <v>44</v>
      </c>
      <c r="X6">
        <v>40</v>
      </c>
      <c r="Y6">
        <v>60</v>
      </c>
      <c r="Z6">
        <v>5</v>
      </c>
      <c r="AA6">
        <v>1000</v>
      </c>
      <c r="AB6" t="s">
        <v>49</v>
      </c>
      <c r="AC6" t="s">
        <v>50</v>
      </c>
      <c r="AD6">
        <v>1</v>
      </c>
      <c r="AE6">
        <v>0.10199999999999999</v>
      </c>
      <c r="AF6">
        <v>0.35799999999999998</v>
      </c>
      <c r="AG6">
        <v>-365</v>
      </c>
      <c r="AH6">
        <v>-2</v>
      </c>
      <c r="AI6">
        <v>0.23</v>
      </c>
      <c r="AJ6">
        <v>0.379</v>
      </c>
      <c r="AK6">
        <v>-1080</v>
      </c>
      <c r="AL6">
        <v>1200</v>
      </c>
      <c r="AM6" t="s">
        <v>44</v>
      </c>
      <c r="AN6">
        <v>1</v>
      </c>
      <c r="AO6" t="s">
        <v>92</v>
      </c>
      <c r="AP6">
        <v>1</v>
      </c>
      <c r="AQ6">
        <v>388</v>
      </c>
    </row>
    <row r="7" spans="1:43" x14ac:dyDescent="0.2">
      <c r="A7" t="s">
        <v>89</v>
      </c>
      <c r="B7" t="s">
        <v>90</v>
      </c>
      <c r="C7">
        <v>136.15</v>
      </c>
      <c r="D7" t="s">
        <v>44</v>
      </c>
      <c r="G7" t="s">
        <v>44</v>
      </c>
      <c r="H7">
        <v>5</v>
      </c>
      <c r="I7" t="s">
        <v>45</v>
      </c>
      <c r="J7" t="s">
        <v>46</v>
      </c>
      <c r="K7">
        <v>265.5</v>
      </c>
      <c r="L7">
        <v>0.45700000000000002</v>
      </c>
      <c r="M7" t="s">
        <v>47</v>
      </c>
      <c r="N7" t="s">
        <v>44</v>
      </c>
      <c r="O7" t="s">
        <v>44</v>
      </c>
      <c r="P7" t="s">
        <v>91</v>
      </c>
      <c r="Q7" t="s">
        <v>44</v>
      </c>
      <c r="R7">
        <v>5.4569999999999999</v>
      </c>
      <c r="S7" s="5">
        <f t="shared" si="0"/>
        <v>21.34</v>
      </c>
      <c r="T7">
        <v>12</v>
      </c>
      <c r="U7" t="s">
        <v>44</v>
      </c>
      <c r="V7" t="s">
        <v>48</v>
      </c>
      <c r="W7" t="s">
        <v>44</v>
      </c>
      <c r="X7">
        <v>40</v>
      </c>
      <c r="Y7">
        <v>60</v>
      </c>
      <c r="Z7">
        <v>5</v>
      </c>
      <c r="AA7">
        <v>1000</v>
      </c>
      <c r="AB7" t="s">
        <v>49</v>
      </c>
      <c r="AC7" t="s">
        <v>50</v>
      </c>
      <c r="AD7">
        <v>1</v>
      </c>
      <c r="AE7">
        <v>0.10199999999999999</v>
      </c>
      <c r="AF7">
        <v>0.35799999999999998</v>
      </c>
      <c r="AG7">
        <v>-365</v>
      </c>
      <c r="AH7">
        <v>-2</v>
      </c>
      <c r="AI7">
        <v>0.23</v>
      </c>
      <c r="AJ7">
        <v>0.379</v>
      </c>
      <c r="AK7">
        <v>-1080</v>
      </c>
      <c r="AL7">
        <v>2400</v>
      </c>
      <c r="AM7" t="s">
        <v>44</v>
      </c>
      <c r="AN7">
        <v>1</v>
      </c>
      <c r="AO7" t="s">
        <v>92</v>
      </c>
      <c r="AP7">
        <v>1</v>
      </c>
      <c r="AQ7">
        <v>389</v>
      </c>
    </row>
    <row r="8" spans="1:43" x14ac:dyDescent="0.2">
      <c r="A8" t="s">
        <v>89</v>
      </c>
      <c r="B8" t="s">
        <v>90</v>
      </c>
      <c r="C8">
        <v>136.15</v>
      </c>
      <c r="D8" t="s">
        <v>44</v>
      </c>
      <c r="G8" t="s">
        <v>44</v>
      </c>
      <c r="H8">
        <v>5</v>
      </c>
      <c r="I8" t="s">
        <v>45</v>
      </c>
      <c r="J8" t="s">
        <v>46</v>
      </c>
      <c r="K8">
        <v>265.5</v>
      </c>
      <c r="L8">
        <v>0.45700000000000002</v>
      </c>
      <c r="M8" t="s">
        <v>47</v>
      </c>
      <c r="N8" t="s">
        <v>44</v>
      </c>
      <c r="O8" t="s">
        <v>44</v>
      </c>
      <c r="P8" t="s">
        <v>91</v>
      </c>
      <c r="Q8" t="s">
        <v>44</v>
      </c>
      <c r="R8">
        <v>5.4569999999999999</v>
      </c>
      <c r="S8" s="5">
        <f t="shared" si="0"/>
        <v>21.34</v>
      </c>
      <c r="T8">
        <v>12</v>
      </c>
      <c r="U8" t="s">
        <v>44</v>
      </c>
      <c r="V8" t="s">
        <v>48</v>
      </c>
      <c r="W8" t="s">
        <v>44</v>
      </c>
      <c r="X8">
        <v>40</v>
      </c>
      <c r="Y8">
        <v>60</v>
      </c>
      <c r="Z8">
        <v>5</v>
      </c>
      <c r="AA8">
        <v>1000</v>
      </c>
      <c r="AB8" t="s">
        <v>49</v>
      </c>
      <c r="AC8" t="s">
        <v>50</v>
      </c>
      <c r="AD8">
        <v>1</v>
      </c>
      <c r="AE8">
        <v>0.10199999999999999</v>
      </c>
      <c r="AF8">
        <v>0.35799999999999998</v>
      </c>
      <c r="AG8">
        <v>-365</v>
      </c>
      <c r="AH8">
        <v>-2</v>
      </c>
      <c r="AI8">
        <v>0.23</v>
      </c>
      <c r="AJ8">
        <v>0.379</v>
      </c>
      <c r="AK8">
        <v>-1080</v>
      </c>
      <c r="AL8">
        <v>1800</v>
      </c>
      <c r="AM8" t="s">
        <v>44</v>
      </c>
      <c r="AN8">
        <v>1.2</v>
      </c>
      <c r="AO8" t="s">
        <v>92</v>
      </c>
      <c r="AP8">
        <v>1</v>
      </c>
      <c r="AQ8">
        <v>387</v>
      </c>
    </row>
    <row r="9" spans="1:43" x14ac:dyDescent="0.2">
      <c r="A9" t="s">
        <v>89</v>
      </c>
      <c r="B9" t="s">
        <v>90</v>
      </c>
      <c r="C9">
        <v>136.15</v>
      </c>
      <c r="D9" t="s">
        <v>44</v>
      </c>
      <c r="G9" t="s">
        <v>44</v>
      </c>
      <c r="H9">
        <v>5</v>
      </c>
      <c r="I9" t="s">
        <v>45</v>
      </c>
      <c r="J9" t="s">
        <v>46</v>
      </c>
      <c r="K9">
        <v>265.5</v>
      </c>
      <c r="L9">
        <v>0.45700000000000002</v>
      </c>
      <c r="M9" t="s">
        <v>47</v>
      </c>
      <c r="N9" t="s">
        <v>44</v>
      </c>
      <c r="O9" t="s">
        <v>44</v>
      </c>
      <c r="P9" t="s">
        <v>91</v>
      </c>
      <c r="Q9" t="s">
        <v>44</v>
      </c>
      <c r="R9">
        <v>5.4569999999999999</v>
      </c>
      <c r="S9" s="5">
        <f t="shared" si="0"/>
        <v>21.34</v>
      </c>
      <c r="T9">
        <v>12</v>
      </c>
      <c r="U9" t="s">
        <v>44</v>
      </c>
      <c r="V9" t="s">
        <v>48</v>
      </c>
      <c r="W9" t="s">
        <v>44</v>
      </c>
      <c r="X9">
        <v>40</v>
      </c>
      <c r="Y9">
        <v>60</v>
      </c>
      <c r="Z9">
        <v>5</v>
      </c>
      <c r="AA9">
        <v>1000</v>
      </c>
      <c r="AB9" t="s">
        <v>49</v>
      </c>
      <c r="AC9" t="s">
        <v>50</v>
      </c>
      <c r="AD9">
        <v>1</v>
      </c>
      <c r="AE9">
        <v>0.10199999999999999</v>
      </c>
      <c r="AF9">
        <v>0.35799999999999998</v>
      </c>
      <c r="AG9">
        <v>-365</v>
      </c>
      <c r="AH9">
        <v>-2</v>
      </c>
      <c r="AI9">
        <v>0.23</v>
      </c>
      <c r="AJ9">
        <v>0.379</v>
      </c>
      <c r="AK9">
        <v>-1080</v>
      </c>
      <c r="AL9">
        <v>1200</v>
      </c>
      <c r="AM9" t="s">
        <v>44</v>
      </c>
      <c r="AN9">
        <v>1.3</v>
      </c>
      <c r="AO9" t="s">
        <v>92</v>
      </c>
      <c r="AP9">
        <v>1</v>
      </c>
      <c r="AQ9">
        <v>385</v>
      </c>
    </row>
    <row r="10" spans="1:43" x14ac:dyDescent="0.2">
      <c r="A10" t="s">
        <v>89</v>
      </c>
      <c r="B10" t="s">
        <v>90</v>
      </c>
      <c r="C10">
        <v>136.15</v>
      </c>
      <c r="D10" t="s">
        <v>44</v>
      </c>
      <c r="G10" t="s">
        <v>44</v>
      </c>
      <c r="H10">
        <v>5</v>
      </c>
      <c r="I10" t="s">
        <v>45</v>
      </c>
      <c r="J10" t="s">
        <v>46</v>
      </c>
      <c r="K10">
        <v>265.5</v>
      </c>
      <c r="L10">
        <v>0.30399999999999999</v>
      </c>
      <c r="M10" t="s">
        <v>47</v>
      </c>
      <c r="N10" t="s">
        <v>44</v>
      </c>
      <c r="O10" t="s">
        <v>44</v>
      </c>
      <c r="P10" t="s">
        <v>91</v>
      </c>
      <c r="Q10" t="s">
        <v>44</v>
      </c>
      <c r="R10">
        <v>5.3040000000000003</v>
      </c>
      <c r="S10" s="5">
        <f t="shared" si="0"/>
        <v>32.07</v>
      </c>
      <c r="T10">
        <v>12</v>
      </c>
      <c r="U10" t="s">
        <v>44</v>
      </c>
      <c r="V10" t="s">
        <v>48</v>
      </c>
      <c r="W10" t="s">
        <v>44</v>
      </c>
      <c r="X10">
        <v>40</v>
      </c>
      <c r="Y10">
        <v>60</v>
      </c>
      <c r="Z10">
        <v>5</v>
      </c>
      <c r="AA10">
        <v>1000</v>
      </c>
      <c r="AB10" t="s">
        <v>49</v>
      </c>
      <c r="AC10" t="s">
        <v>50</v>
      </c>
      <c r="AD10">
        <v>1</v>
      </c>
      <c r="AE10">
        <v>0.10199999999999999</v>
      </c>
      <c r="AF10">
        <v>0.35799999999999998</v>
      </c>
      <c r="AG10">
        <v>-365</v>
      </c>
      <c r="AH10">
        <v>-2</v>
      </c>
      <c r="AI10">
        <v>0.23</v>
      </c>
      <c r="AJ10">
        <v>0.379</v>
      </c>
      <c r="AK10">
        <v>-1080</v>
      </c>
      <c r="AL10">
        <v>1200</v>
      </c>
      <c r="AM10" t="s">
        <v>44</v>
      </c>
      <c r="AN10">
        <v>1.3</v>
      </c>
      <c r="AO10" t="s">
        <v>92</v>
      </c>
      <c r="AP10">
        <v>1</v>
      </c>
      <c r="AQ10">
        <v>386</v>
      </c>
    </row>
    <row r="11" spans="1:43" x14ac:dyDescent="0.2">
      <c r="A11" t="s">
        <v>59</v>
      </c>
      <c r="B11" t="s">
        <v>60</v>
      </c>
      <c r="C11">
        <v>43.1</v>
      </c>
      <c r="D11" t="s">
        <v>42</v>
      </c>
      <c r="E11" t="s">
        <v>43</v>
      </c>
      <c r="F11">
        <v>86.14</v>
      </c>
      <c r="G11">
        <v>67</v>
      </c>
      <c r="H11">
        <v>3</v>
      </c>
      <c r="I11" t="s">
        <v>45</v>
      </c>
      <c r="J11" t="s">
        <v>46</v>
      </c>
      <c r="K11">
        <v>265.5</v>
      </c>
      <c r="L11">
        <v>0.6</v>
      </c>
      <c r="M11" t="s">
        <v>47</v>
      </c>
      <c r="N11" t="s">
        <v>44</v>
      </c>
      <c r="O11" t="s">
        <v>44</v>
      </c>
      <c r="P11" t="s">
        <v>44</v>
      </c>
      <c r="Q11" t="s">
        <v>44</v>
      </c>
      <c r="R11">
        <v>3.6</v>
      </c>
      <c r="S11" s="5">
        <f t="shared" si="0"/>
        <v>30.57</v>
      </c>
      <c r="T11">
        <v>9.5</v>
      </c>
      <c r="U11" t="s">
        <v>44</v>
      </c>
      <c r="V11" t="s">
        <v>48</v>
      </c>
      <c r="W11" t="s">
        <v>44</v>
      </c>
      <c r="X11">
        <v>20</v>
      </c>
      <c r="Y11">
        <v>75</v>
      </c>
      <c r="Z11">
        <v>8</v>
      </c>
      <c r="AA11">
        <v>500</v>
      </c>
      <c r="AB11" t="s">
        <v>69</v>
      </c>
      <c r="AC11" t="s">
        <v>50</v>
      </c>
      <c r="AD11">
        <v>2</v>
      </c>
      <c r="AE11">
        <v>7.1999999999999995E-2</v>
      </c>
      <c r="AF11">
        <v>0.42799999999999999</v>
      </c>
      <c r="AG11">
        <v>-1830</v>
      </c>
      <c r="AH11">
        <v>-2</v>
      </c>
      <c r="AI11">
        <v>0.23</v>
      </c>
      <c r="AJ11">
        <v>0.379</v>
      </c>
      <c r="AK11">
        <v>-1080</v>
      </c>
      <c r="AL11">
        <v>1800</v>
      </c>
      <c r="AM11" t="s">
        <v>44</v>
      </c>
      <c r="AN11">
        <v>1.5</v>
      </c>
      <c r="AO11" t="s">
        <v>143</v>
      </c>
      <c r="AP11">
        <v>1</v>
      </c>
      <c r="AQ11">
        <v>381</v>
      </c>
    </row>
    <row r="12" spans="1:43" x14ac:dyDescent="0.2">
      <c r="A12" t="s">
        <v>42</v>
      </c>
      <c r="B12" t="s">
        <v>43</v>
      </c>
      <c r="C12">
        <v>86.14</v>
      </c>
      <c r="D12" t="s">
        <v>71</v>
      </c>
      <c r="E12" t="s">
        <v>72</v>
      </c>
      <c r="F12">
        <v>101.19</v>
      </c>
      <c r="G12">
        <v>5</v>
      </c>
      <c r="H12">
        <v>2</v>
      </c>
      <c r="I12" t="s">
        <v>45</v>
      </c>
      <c r="J12" t="s">
        <v>46</v>
      </c>
      <c r="K12">
        <v>265.5</v>
      </c>
      <c r="L12">
        <v>0.45600000000000002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>
        <v>2.456</v>
      </c>
      <c r="S12" s="5">
        <f t="shared" si="0"/>
        <v>13.18</v>
      </c>
      <c r="T12" t="s">
        <v>44</v>
      </c>
      <c r="U12" t="s">
        <v>131</v>
      </c>
      <c r="V12" t="s">
        <v>132</v>
      </c>
      <c r="W12">
        <v>0.76300000000000001</v>
      </c>
      <c r="X12">
        <v>2</v>
      </c>
      <c r="Y12">
        <v>70</v>
      </c>
      <c r="Z12">
        <v>10</v>
      </c>
      <c r="AA12">
        <v>1000</v>
      </c>
      <c r="AB12" t="s">
        <v>49</v>
      </c>
      <c r="AC12" t="s">
        <v>52</v>
      </c>
      <c r="AD12">
        <v>1</v>
      </c>
      <c r="AE12">
        <v>0.10199999999999999</v>
      </c>
      <c r="AF12">
        <v>0.35799999999999998</v>
      </c>
      <c r="AG12">
        <v>-365</v>
      </c>
      <c r="AH12">
        <v>-1</v>
      </c>
      <c r="AI12">
        <v>0.18099999999999999</v>
      </c>
      <c r="AJ12">
        <v>0.33200000000000002</v>
      </c>
      <c r="AK12">
        <v>-340</v>
      </c>
      <c r="AL12">
        <v>120</v>
      </c>
      <c r="AM12" t="s">
        <v>44</v>
      </c>
      <c r="AN12">
        <v>1.5</v>
      </c>
      <c r="AO12" t="s">
        <v>107</v>
      </c>
      <c r="AP12">
        <v>1</v>
      </c>
      <c r="AQ12">
        <v>382</v>
      </c>
    </row>
    <row r="13" spans="1:43" x14ac:dyDescent="0.2">
      <c r="A13" t="s">
        <v>42</v>
      </c>
      <c r="B13" t="s">
        <v>43</v>
      </c>
      <c r="C13">
        <v>86.14</v>
      </c>
      <c r="D13" t="s">
        <v>71</v>
      </c>
      <c r="E13" t="s">
        <v>72</v>
      </c>
      <c r="F13">
        <v>101.19</v>
      </c>
      <c r="G13">
        <v>5</v>
      </c>
      <c r="H13">
        <v>2</v>
      </c>
      <c r="I13" t="s">
        <v>45</v>
      </c>
      <c r="J13" t="s">
        <v>46</v>
      </c>
      <c r="K13">
        <v>265.5</v>
      </c>
      <c r="L13">
        <v>0.45600000000000002</v>
      </c>
      <c r="M13" t="s">
        <v>47</v>
      </c>
      <c r="N13" t="s">
        <v>44</v>
      </c>
      <c r="O13" t="s">
        <v>44</v>
      </c>
      <c r="P13" t="s">
        <v>44</v>
      </c>
      <c r="Q13" t="s">
        <v>44</v>
      </c>
      <c r="R13">
        <v>2.456</v>
      </c>
      <c r="S13" s="5">
        <f t="shared" si="0"/>
        <v>13.18</v>
      </c>
      <c r="T13" t="s">
        <v>44</v>
      </c>
      <c r="U13" t="s">
        <v>131</v>
      </c>
      <c r="V13" t="s">
        <v>132</v>
      </c>
      <c r="W13">
        <v>0.76300000000000001</v>
      </c>
      <c r="X13">
        <v>2</v>
      </c>
      <c r="Y13">
        <v>70</v>
      </c>
      <c r="Z13">
        <v>10</v>
      </c>
      <c r="AA13">
        <v>1000</v>
      </c>
      <c r="AB13" t="s">
        <v>49</v>
      </c>
      <c r="AC13" t="s">
        <v>50</v>
      </c>
      <c r="AD13">
        <v>1</v>
      </c>
      <c r="AE13">
        <v>0.10199999999999999</v>
      </c>
      <c r="AF13">
        <v>0.35799999999999998</v>
      </c>
      <c r="AG13">
        <v>-365</v>
      </c>
      <c r="AH13">
        <v>-2</v>
      </c>
      <c r="AI13">
        <v>0.23</v>
      </c>
      <c r="AJ13">
        <v>0.379</v>
      </c>
      <c r="AK13">
        <v>-1080</v>
      </c>
      <c r="AL13">
        <v>120</v>
      </c>
      <c r="AM13" t="s">
        <v>44</v>
      </c>
      <c r="AN13">
        <v>1.5</v>
      </c>
      <c r="AO13" t="s">
        <v>107</v>
      </c>
      <c r="AP13">
        <v>1</v>
      </c>
      <c r="AQ13">
        <v>383</v>
      </c>
    </row>
    <row r="14" spans="1:43" x14ac:dyDescent="0.2">
      <c r="A14" t="s">
        <v>42</v>
      </c>
      <c r="B14" t="s">
        <v>43</v>
      </c>
      <c r="C14">
        <v>86.14</v>
      </c>
      <c r="D14" t="s">
        <v>71</v>
      </c>
      <c r="E14" t="s">
        <v>72</v>
      </c>
      <c r="F14">
        <v>101.19</v>
      </c>
      <c r="G14">
        <v>5</v>
      </c>
      <c r="H14">
        <v>2</v>
      </c>
      <c r="I14" t="s">
        <v>45</v>
      </c>
      <c r="J14" t="s">
        <v>46</v>
      </c>
      <c r="K14">
        <v>265.5</v>
      </c>
      <c r="L14">
        <v>0.45600000000000002</v>
      </c>
      <c r="M14" t="s">
        <v>47</v>
      </c>
      <c r="N14" t="s">
        <v>44</v>
      </c>
      <c r="O14" t="s">
        <v>44</v>
      </c>
      <c r="P14" t="s">
        <v>44</v>
      </c>
      <c r="Q14" t="s">
        <v>44</v>
      </c>
      <c r="R14">
        <v>2.456</v>
      </c>
      <c r="S14" s="5">
        <f t="shared" si="0"/>
        <v>13.18</v>
      </c>
      <c r="T14" t="s">
        <v>44</v>
      </c>
      <c r="U14" t="s">
        <v>131</v>
      </c>
      <c r="V14" t="s">
        <v>132</v>
      </c>
      <c r="W14">
        <v>0.76300000000000001</v>
      </c>
      <c r="X14">
        <v>2</v>
      </c>
      <c r="Y14">
        <v>70</v>
      </c>
      <c r="Z14">
        <v>10</v>
      </c>
      <c r="AA14">
        <v>1000</v>
      </c>
      <c r="AB14" t="s">
        <v>69</v>
      </c>
      <c r="AC14" t="s">
        <v>52</v>
      </c>
      <c r="AD14">
        <v>2</v>
      </c>
      <c r="AE14">
        <v>7.1999999999999995E-2</v>
      </c>
      <c r="AF14">
        <v>0.42799999999999999</v>
      </c>
      <c r="AG14">
        <v>-1830</v>
      </c>
      <c r="AH14">
        <v>-1</v>
      </c>
      <c r="AI14">
        <v>0.18099999999999999</v>
      </c>
      <c r="AJ14">
        <v>0.33200000000000002</v>
      </c>
      <c r="AK14">
        <v>-340</v>
      </c>
      <c r="AL14">
        <v>120</v>
      </c>
      <c r="AM14" t="s">
        <v>44</v>
      </c>
      <c r="AN14">
        <v>1.5</v>
      </c>
      <c r="AO14" t="s">
        <v>107</v>
      </c>
      <c r="AP14">
        <v>1</v>
      </c>
      <c r="AQ14">
        <v>384</v>
      </c>
    </row>
    <row r="15" spans="1:43" x14ac:dyDescent="0.2">
      <c r="A15" t="s">
        <v>89</v>
      </c>
      <c r="B15" t="s">
        <v>90</v>
      </c>
      <c r="C15">
        <v>136.15</v>
      </c>
      <c r="D15" t="s">
        <v>44</v>
      </c>
      <c r="G15" t="s">
        <v>44</v>
      </c>
      <c r="H15">
        <v>5</v>
      </c>
      <c r="I15" t="s">
        <v>45</v>
      </c>
      <c r="J15" t="s">
        <v>46</v>
      </c>
      <c r="K15">
        <v>265.5</v>
      </c>
      <c r="L15">
        <v>0.60899999999999999</v>
      </c>
      <c r="M15" t="s">
        <v>47</v>
      </c>
      <c r="N15" t="s">
        <v>44</v>
      </c>
      <c r="O15" t="s">
        <v>44</v>
      </c>
      <c r="P15" t="s">
        <v>91</v>
      </c>
      <c r="Q15" t="s">
        <v>44</v>
      </c>
      <c r="R15">
        <v>5.609</v>
      </c>
      <c r="S15" s="5">
        <f t="shared" si="0"/>
        <v>16.010000000000002</v>
      </c>
      <c r="T15">
        <v>12</v>
      </c>
      <c r="U15" t="s">
        <v>44</v>
      </c>
      <c r="V15" t="s">
        <v>48</v>
      </c>
      <c r="W15" t="s">
        <v>44</v>
      </c>
      <c r="X15">
        <v>40</v>
      </c>
      <c r="Y15">
        <v>60</v>
      </c>
      <c r="Z15">
        <v>5</v>
      </c>
      <c r="AA15">
        <v>1000</v>
      </c>
      <c r="AB15" t="s">
        <v>49</v>
      </c>
      <c r="AC15" t="s">
        <v>50</v>
      </c>
      <c r="AD15">
        <v>1</v>
      </c>
      <c r="AE15">
        <v>0.10199999999999999</v>
      </c>
      <c r="AF15">
        <v>0.35799999999999998</v>
      </c>
      <c r="AG15">
        <v>-365</v>
      </c>
      <c r="AH15">
        <v>-2</v>
      </c>
      <c r="AI15">
        <v>0.23</v>
      </c>
      <c r="AJ15">
        <v>0.379</v>
      </c>
      <c r="AK15">
        <v>-1080</v>
      </c>
      <c r="AL15">
        <v>1200</v>
      </c>
      <c r="AM15" t="s">
        <v>44</v>
      </c>
      <c r="AN15">
        <v>1.6</v>
      </c>
      <c r="AO15" t="s">
        <v>92</v>
      </c>
      <c r="AP15">
        <v>1</v>
      </c>
      <c r="AQ15">
        <v>380</v>
      </c>
    </row>
    <row r="16" spans="1:43" x14ac:dyDescent="0.2">
      <c r="A16" t="s">
        <v>89</v>
      </c>
      <c r="B16" t="s">
        <v>90</v>
      </c>
      <c r="C16">
        <v>136.15</v>
      </c>
      <c r="D16" t="s">
        <v>44</v>
      </c>
      <c r="G16" t="s">
        <v>44</v>
      </c>
      <c r="H16">
        <v>5</v>
      </c>
      <c r="I16" t="s">
        <v>45</v>
      </c>
      <c r="J16" t="s">
        <v>46</v>
      </c>
      <c r="K16">
        <v>265.5</v>
      </c>
      <c r="L16">
        <v>1.2170000000000001</v>
      </c>
      <c r="M16" t="s">
        <v>47</v>
      </c>
      <c r="N16" t="s">
        <v>44</v>
      </c>
      <c r="O16" t="s">
        <v>44</v>
      </c>
      <c r="P16" t="s">
        <v>91</v>
      </c>
      <c r="Q16" t="s">
        <v>44</v>
      </c>
      <c r="R16">
        <v>6.2169999999999996</v>
      </c>
      <c r="S16" s="5">
        <f t="shared" si="0"/>
        <v>8.01</v>
      </c>
      <c r="T16">
        <v>12</v>
      </c>
      <c r="U16" t="s">
        <v>44</v>
      </c>
      <c r="V16" t="s">
        <v>48</v>
      </c>
      <c r="W16" t="s">
        <v>44</v>
      </c>
      <c r="X16">
        <v>40</v>
      </c>
      <c r="Y16">
        <v>60</v>
      </c>
      <c r="Z16">
        <v>5</v>
      </c>
      <c r="AA16">
        <v>1000</v>
      </c>
      <c r="AB16" t="s">
        <v>49</v>
      </c>
      <c r="AC16" t="s">
        <v>50</v>
      </c>
      <c r="AD16">
        <v>1</v>
      </c>
      <c r="AE16">
        <v>0.10199999999999999</v>
      </c>
      <c r="AF16">
        <v>0.35799999999999998</v>
      </c>
      <c r="AG16">
        <v>-365</v>
      </c>
      <c r="AH16">
        <v>-2</v>
      </c>
      <c r="AI16">
        <v>0.23</v>
      </c>
      <c r="AJ16">
        <v>0.379</v>
      </c>
      <c r="AK16">
        <v>-1080</v>
      </c>
      <c r="AL16">
        <v>1200</v>
      </c>
      <c r="AM16" t="s">
        <v>44</v>
      </c>
      <c r="AN16">
        <v>1.7</v>
      </c>
      <c r="AO16" t="s">
        <v>92</v>
      </c>
      <c r="AP16">
        <v>1</v>
      </c>
      <c r="AQ16">
        <v>378</v>
      </c>
    </row>
    <row r="17" spans="1:43" x14ac:dyDescent="0.2">
      <c r="A17" t="s">
        <v>89</v>
      </c>
      <c r="B17" t="s">
        <v>90</v>
      </c>
      <c r="C17">
        <v>136.15</v>
      </c>
      <c r="D17" t="s">
        <v>44</v>
      </c>
      <c r="G17" t="s">
        <v>44</v>
      </c>
      <c r="H17">
        <v>5</v>
      </c>
      <c r="I17" t="s">
        <v>45</v>
      </c>
      <c r="J17" t="s">
        <v>46</v>
      </c>
      <c r="K17">
        <v>265.5</v>
      </c>
      <c r="L17">
        <v>0.45700000000000002</v>
      </c>
      <c r="M17" t="s">
        <v>47</v>
      </c>
      <c r="N17" t="s">
        <v>44</v>
      </c>
      <c r="O17" t="s">
        <v>44</v>
      </c>
      <c r="P17" t="s">
        <v>91</v>
      </c>
      <c r="Q17" t="s">
        <v>44</v>
      </c>
      <c r="R17">
        <v>5.4569999999999999</v>
      </c>
      <c r="S17" s="5">
        <f t="shared" si="0"/>
        <v>21.34</v>
      </c>
      <c r="T17">
        <v>12</v>
      </c>
      <c r="U17" t="s">
        <v>44</v>
      </c>
      <c r="V17" t="s">
        <v>48</v>
      </c>
      <c r="W17" t="s">
        <v>44</v>
      </c>
      <c r="X17">
        <v>40</v>
      </c>
      <c r="Y17">
        <v>60</v>
      </c>
      <c r="Z17">
        <v>5</v>
      </c>
      <c r="AA17">
        <v>1000</v>
      </c>
      <c r="AB17" t="s">
        <v>49</v>
      </c>
      <c r="AC17" t="s">
        <v>50</v>
      </c>
      <c r="AD17">
        <v>1</v>
      </c>
      <c r="AE17">
        <v>0.10199999999999999</v>
      </c>
      <c r="AF17">
        <v>0.35799999999999998</v>
      </c>
      <c r="AG17">
        <v>-365</v>
      </c>
      <c r="AH17">
        <v>-2</v>
      </c>
      <c r="AI17">
        <v>0.23</v>
      </c>
      <c r="AJ17">
        <v>0.379</v>
      </c>
      <c r="AK17">
        <v>-1080</v>
      </c>
      <c r="AL17">
        <v>600</v>
      </c>
      <c r="AM17" t="s">
        <v>44</v>
      </c>
      <c r="AN17">
        <v>1.7</v>
      </c>
      <c r="AO17" t="s">
        <v>92</v>
      </c>
      <c r="AP17">
        <v>1</v>
      </c>
      <c r="AQ17">
        <v>379</v>
      </c>
    </row>
    <row r="18" spans="1:43" x14ac:dyDescent="0.2">
      <c r="A18" t="s">
        <v>89</v>
      </c>
      <c r="B18" t="s">
        <v>90</v>
      </c>
      <c r="C18">
        <v>136.15</v>
      </c>
      <c r="D18" t="s">
        <v>44</v>
      </c>
      <c r="G18" t="s">
        <v>44</v>
      </c>
      <c r="H18">
        <v>5</v>
      </c>
      <c r="I18" t="s">
        <v>45</v>
      </c>
      <c r="J18" t="s">
        <v>46</v>
      </c>
      <c r="K18">
        <v>265.5</v>
      </c>
      <c r="L18">
        <v>0.91500000000000004</v>
      </c>
      <c r="M18" t="s">
        <v>47</v>
      </c>
      <c r="N18" t="s">
        <v>44</v>
      </c>
      <c r="O18" t="s">
        <v>44</v>
      </c>
      <c r="P18" t="s">
        <v>91</v>
      </c>
      <c r="Q18" t="s">
        <v>44</v>
      </c>
      <c r="R18">
        <v>5.915</v>
      </c>
      <c r="S18" s="5">
        <f t="shared" si="0"/>
        <v>10.66</v>
      </c>
      <c r="T18">
        <v>12</v>
      </c>
      <c r="U18" t="s">
        <v>44</v>
      </c>
      <c r="V18" t="s">
        <v>48</v>
      </c>
      <c r="W18" t="s">
        <v>44</v>
      </c>
      <c r="X18">
        <v>40</v>
      </c>
      <c r="Y18">
        <v>60</v>
      </c>
      <c r="Z18">
        <v>5</v>
      </c>
      <c r="AA18">
        <v>1000</v>
      </c>
      <c r="AB18" t="s">
        <v>49</v>
      </c>
      <c r="AC18" t="s">
        <v>50</v>
      </c>
      <c r="AD18">
        <v>1</v>
      </c>
      <c r="AE18">
        <v>0.10199999999999999</v>
      </c>
      <c r="AF18">
        <v>0.35799999999999998</v>
      </c>
      <c r="AG18">
        <v>-365</v>
      </c>
      <c r="AH18">
        <v>-2</v>
      </c>
      <c r="AI18">
        <v>0.23</v>
      </c>
      <c r="AJ18">
        <v>0.379</v>
      </c>
      <c r="AK18">
        <v>-1080</v>
      </c>
      <c r="AL18">
        <v>1200</v>
      </c>
      <c r="AM18" t="s">
        <v>44</v>
      </c>
      <c r="AN18">
        <v>1.8</v>
      </c>
      <c r="AO18" t="s">
        <v>92</v>
      </c>
      <c r="AP18">
        <v>1</v>
      </c>
      <c r="AQ18">
        <v>377</v>
      </c>
    </row>
    <row r="19" spans="1:43" x14ac:dyDescent="0.2">
      <c r="A19" t="s">
        <v>42</v>
      </c>
      <c r="B19" t="s">
        <v>43</v>
      </c>
      <c r="C19">
        <v>86.14</v>
      </c>
      <c r="D19" t="s">
        <v>44</v>
      </c>
      <c r="G19" t="s">
        <v>44</v>
      </c>
      <c r="H19">
        <v>0.1</v>
      </c>
      <c r="I19" t="s">
        <v>45</v>
      </c>
      <c r="J19" t="s">
        <v>46</v>
      </c>
      <c r="K19">
        <v>265.5</v>
      </c>
      <c r="L19">
        <v>0.1</v>
      </c>
      <c r="M19" t="s">
        <v>47</v>
      </c>
      <c r="N19" t="s">
        <v>44</v>
      </c>
      <c r="O19" t="s">
        <v>44</v>
      </c>
      <c r="P19" t="s">
        <v>44</v>
      </c>
      <c r="Q19" t="s">
        <v>44</v>
      </c>
      <c r="R19">
        <v>0.2</v>
      </c>
      <c r="S19" s="5">
        <f t="shared" si="0"/>
        <v>3.08</v>
      </c>
      <c r="T19" t="s">
        <v>44</v>
      </c>
      <c r="U19" t="s">
        <v>44</v>
      </c>
      <c r="V19" t="s">
        <v>48</v>
      </c>
      <c r="W19" t="s">
        <v>44</v>
      </c>
      <c r="X19">
        <v>30</v>
      </c>
      <c r="Y19">
        <v>60</v>
      </c>
      <c r="Z19">
        <v>6</v>
      </c>
      <c r="AA19">
        <v>1000</v>
      </c>
      <c r="AB19" t="s">
        <v>49</v>
      </c>
      <c r="AC19" t="s">
        <v>50</v>
      </c>
      <c r="AD19">
        <v>1</v>
      </c>
      <c r="AE19">
        <v>0.10199999999999999</v>
      </c>
      <c r="AF19">
        <v>0.35799999999999998</v>
      </c>
      <c r="AG19">
        <v>-365</v>
      </c>
      <c r="AH19">
        <v>-2</v>
      </c>
      <c r="AI19">
        <v>0.23</v>
      </c>
      <c r="AJ19">
        <v>0.379</v>
      </c>
      <c r="AK19">
        <v>-1080</v>
      </c>
      <c r="AL19">
        <v>120</v>
      </c>
      <c r="AM19" t="s">
        <v>44</v>
      </c>
      <c r="AN19">
        <v>2</v>
      </c>
      <c r="AO19" t="s">
        <v>66</v>
      </c>
      <c r="AP19">
        <v>1</v>
      </c>
      <c r="AQ19">
        <v>9</v>
      </c>
    </row>
    <row r="20" spans="1:43" x14ac:dyDescent="0.2">
      <c r="A20" t="s">
        <v>63</v>
      </c>
      <c r="B20" t="s">
        <v>64</v>
      </c>
      <c r="C20">
        <v>228.29</v>
      </c>
      <c r="D20" t="s">
        <v>44</v>
      </c>
      <c r="G20" t="s">
        <v>44</v>
      </c>
      <c r="H20">
        <v>1</v>
      </c>
      <c r="I20" t="s">
        <v>45</v>
      </c>
      <c r="J20" t="s">
        <v>46</v>
      </c>
      <c r="K20">
        <v>265.5</v>
      </c>
      <c r="L20">
        <v>0.15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>
        <v>1.1499999999999999</v>
      </c>
      <c r="S20" s="5">
        <f t="shared" si="0"/>
        <v>7.75</v>
      </c>
      <c r="T20" t="s">
        <v>44</v>
      </c>
      <c r="U20" t="s">
        <v>44</v>
      </c>
      <c r="V20" t="s">
        <v>48</v>
      </c>
      <c r="W20" t="s">
        <v>44</v>
      </c>
      <c r="X20" t="s">
        <v>44</v>
      </c>
      <c r="Y20" t="s">
        <v>44</v>
      </c>
      <c r="Z20">
        <v>3.1</v>
      </c>
      <c r="AA20">
        <v>5.8659999999999997</v>
      </c>
      <c r="AB20" t="s">
        <v>49</v>
      </c>
      <c r="AC20" t="s">
        <v>52</v>
      </c>
      <c r="AD20">
        <v>1</v>
      </c>
      <c r="AE20">
        <v>0.10199999999999999</v>
      </c>
      <c r="AF20">
        <v>0.35799999999999998</v>
      </c>
      <c r="AG20">
        <v>-365</v>
      </c>
      <c r="AH20">
        <v>-1</v>
      </c>
      <c r="AI20">
        <v>0.18099999999999999</v>
      </c>
      <c r="AJ20">
        <v>0.33200000000000002</v>
      </c>
      <c r="AK20">
        <v>-340</v>
      </c>
      <c r="AL20">
        <v>90</v>
      </c>
      <c r="AM20" t="s">
        <v>44</v>
      </c>
      <c r="AN20">
        <v>2.1</v>
      </c>
      <c r="AO20" t="s">
        <v>65</v>
      </c>
      <c r="AP20">
        <v>1</v>
      </c>
      <c r="AQ20">
        <v>373</v>
      </c>
    </row>
    <row r="21" spans="1:43" x14ac:dyDescent="0.2">
      <c r="A21" t="s">
        <v>63</v>
      </c>
      <c r="B21" t="s">
        <v>64</v>
      </c>
      <c r="C21">
        <v>228.29</v>
      </c>
      <c r="D21" t="s">
        <v>44</v>
      </c>
      <c r="G21" t="s">
        <v>44</v>
      </c>
      <c r="H21">
        <v>1</v>
      </c>
      <c r="I21" t="s">
        <v>45</v>
      </c>
      <c r="J21" t="s">
        <v>46</v>
      </c>
      <c r="K21">
        <v>265.5</v>
      </c>
      <c r="L21">
        <v>0.15</v>
      </c>
      <c r="M21" t="s">
        <v>47</v>
      </c>
      <c r="N21" t="s">
        <v>44</v>
      </c>
      <c r="O21" t="s">
        <v>44</v>
      </c>
      <c r="P21" t="s">
        <v>44</v>
      </c>
      <c r="Q21" t="s">
        <v>44</v>
      </c>
      <c r="R21">
        <v>1.1499999999999999</v>
      </c>
      <c r="S21" s="5">
        <f t="shared" si="0"/>
        <v>7.75</v>
      </c>
      <c r="T21" t="s">
        <v>44</v>
      </c>
      <c r="U21" t="s">
        <v>44</v>
      </c>
      <c r="V21" t="s">
        <v>48</v>
      </c>
      <c r="W21" t="s">
        <v>44</v>
      </c>
      <c r="X21" t="s">
        <v>44</v>
      </c>
      <c r="Y21" t="s">
        <v>44</v>
      </c>
      <c r="Z21">
        <v>4.4800000000000004</v>
      </c>
      <c r="AA21">
        <v>5.8659999999999997</v>
      </c>
      <c r="AB21" t="s">
        <v>49</v>
      </c>
      <c r="AC21" t="s">
        <v>52</v>
      </c>
      <c r="AD21">
        <v>1</v>
      </c>
      <c r="AE21">
        <v>0.10199999999999999</v>
      </c>
      <c r="AF21">
        <v>0.35799999999999998</v>
      </c>
      <c r="AG21">
        <v>-365</v>
      </c>
      <c r="AH21">
        <v>-1</v>
      </c>
      <c r="AI21">
        <v>0.18099999999999999</v>
      </c>
      <c r="AJ21">
        <v>0.33200000000000002</v>
      </c>
      <c r="AK21">
        <v>-340</v>
      </c>
      <c r="AL21">
        <v>90</v>
      </c>
      <c r="AM21" t="s">
        <v>44</v>
      </c>
      <c r="AN21">
        <v>2.1</v>
      </c>
      <c r="AO21" t="s">
        <v>65</v>
      </c>
      <c r="AP21">
        <v>1</v>
      </c>
      <c r="AQ21">
        <v>374</v>
      </c>
    </row>
    <row r="22" spans="1:43" x14ac:dyDescent="0.2">
      <c r="A22" t="s">
        <v>89</v>
      </c>
      <c r="B22" t="s">
        <v>90</v>
      </c>
      <c r="C22">
        <v>136.15</v>
      </c>
      <c r="D22" t="s">
        <v>44</v>
      </c>
      <c r="G22" t="s">
        <v>44</v>
      </c>
      <c r="H22">
        <v>5</v>
      </c>
      <c r="I22" t="s">
        <v>45</v>
      </c>
      <c r="J22" t="s">
        <v>46</v>
      </c>
      <c r="K22">
        <v>265.5</v>
      </c>
      <c r="L22">
        <v>0.152</v>
      </c>
      <c r="M22" t="s">
        <v>47</v>
      </c>
      <c r="N22" t="s">
        <v>44</v>
      </c>
      <c r="O22" t="s">
        <v>44</v>
      </c>
      <c r="P22" t="s">
        <v>91</v>
      </c>
      <c r="Q22" t="s">
        <v>44</v>
      </c>
      <c r="R22">
        <v>5.1520000000000001</v>
      </c>
      <c r="S22" s="5">
        <f t="shared" si="0"/>
        <v>64.150000000000006</v>
      </c>
      <c r="T22">
        <v>12</v>
      </c>
      <c r="U22" t="s">
        <v>44</v>
      </c>
      <c r="V22" t="s">
        <v>48</v>
      </c>
      <c r="W22" t="s">
        <v>44</v>
      </c>
      <c r="X22">
        <v>40</v>
      </c>
      <c r="Y22">
        <v>60</v>
      </c>
      <c r="Z22">
        <v>5</v>
      </c>
      <c r="AA22">
        <v>1000</v>
      </c>
      <c r="AB22" t="s">
        <v>49</v>
      </c>
      <c r="AC22" t="s">
        <v>50</v>
      </c>
      <c r="AD22">
        <v>1</v>
      </c>
      <c r="AE22">
        <v>0.10199999999999999</v>
      </c>
      <c r="AF22">
        <v>0.35799999999999998</v>
      </c>
      <c r="AG22">
        <v>-365</v>
      </c>
      <c r="AH22">
        <v>-2</v>
      </c>
      <c r="AI22">
        <v>0.23</v>
      </c>
      <c r="AJ22">
        <v>0.379</v>
      </c>
      <c r="AK22">
        <v>-1080</v>
      </c>
      <c r="AL22">
        <v>1200</v>
      </c>
      <c r="AM22" t="s">
        <v>44</v>
      </c>
      <c r="AN22">
        <v>2.1</v>
      </c>
      <c r="AO22" t="s">
        <v>92</v>
      </c>
      <c r="AP22">
        <v>1</v>
      </c>
      <c r="AQ22">
        <v>375</v>
      </c>
    </row>
    <row r="23" spans="1:43" x14ac:dyDescent="0.2">
      <c r="A23" t="s">
        <v>42</v>
      </c>
      <c r="B23" t="s">
        <v>43</v>
      </c>
      <c r="C23">
        <v>86.14</v>
      </c>
      <c r="D23" t="s">
        <v>44</v>
      </c>
      <c r="G23" t="s">
        <v>44</v>
      </c>
      <c r="H23">
        <v>0.2</v>
      </c>
      <c r="I23" t="s">
        <v>45</v>
      </c>
      <c r="J23" t="s">
        <v>46</v>
      </c>
      <c r="K23">
        <v>265.5</v>
      </c>
      <c r="L23">
        <v>0.1</v>
      </c>
      <c r="M23" t="s">
        <v>47</v>
      </c>
      <c r="N23" t="s">
        <v>44</v>
      </c>
      <c r="O23" t="s">
        <v>44</v>
      </c>
      <c r="P23" t="s">
        <v>44</v>
      </c>
      <c r="Q23" t="s">
        <v>44</v>
      </c>
      <c r="R23">
        <v>0.3</v>
      </c>
      <c r="S23" s="5">
        <f t="shared" si="0"/>
        <v>6.16</v>
      </c>
      <c r="T23" t="s">
        <v>44</v>
      </c>
      <c r="U23" t="s">
        <v>44</v>
      </c>
      <c r="V23" t="s">
        <v>48</v>
      </c>
      <c r="W23" t="s">
        <v>44</v>
      </c>
      <c r="X23">
        <v>10</v>
      </c>
      <c r="Y23">
        <v>100</v>
      </c>
      <c r="Z23">
        <v>10.3</v>
      </c>
      <c r="AA23">
        <v>1000</v>
      </c>
      <c r="AB23" t="s">
        <v>49</v>
      </c>
      <c r="AC23" t="s">
        <v>52</v>
      </c>
      <c r="AD23">
        <v>1</v>
      </c>
      <c r="AE23">
        <v>0.10199999999999999</v>
      </c>
      <c r="AF23">
        <v>0.35799999999999998</v>
      </c>
      <c r="AG23">
        <v>-365</v>
      </c>
      <c r="AH23">
        <v>-1</v>
      </c>
      <c r="AI23">
        <v>0.18099999999999999</v>
      </c>
      <c r="AJ23">
        <v>0.33200000000000002</v>
      </c>
      <c r="AK23">
        <v>-340</v>
      </c>
      <c r="AL23">
        <v>45</v>
      </c>
      <c r="AM23" t="s">
        <v>44</v>
      </c>
      <c r="AN23">
        <v>2.1</v>
      </c>
      <c r="AO23" t="s">
        <v>101</v>
      </c>
      <c r="AP23">
        <v>1</v>
      </c>
      <c r="AQ23">
        <v>376</v>
      </c>
    </row>
    <row r="24" spans="1:43" x14ac:dyDescent="0.2">
      <c r="A24" t="s">
        <v>89</v>
      </c>
      <c r="B24" t="s">
        <v>90</v>
      </c>
      <c r="C24">
        <v>136.15</v>
      </c>
      <c r="D24" t="s">
        <v>44</v>
      </c>
      <c r="G24" t="s">
        <v>44</v>
      </c>
      <c r="H24">
        <v>3</v>
      </c>
      <c r="I24" t="s">
        <v>45</v>
      </c>
      <c r="J24" t="s">
        <v>46</v>
      </c>
      <c r="K24">
        <v>265.5</v>
      </c>
      <c r="L24">
        <v>0.45600000000000002</v>
      </c>
      <c r="M24" t="s">
        <v>47</v>
      </c>
      <c r="N24" t="s">
        <v>44</v>
      </c>
      <c r="O24" t="s">
        <v>44</v>
      </c>
      <c r="P24" t="s">
        <v>91</v>
      </c>
      <c r="Q24" t="s">
        <v>44</v>
      </c>
      <c r="R24">
        <v>3.456</v>
      </c>
      <c r="S24" s="5">
        <f t="shared" si="0"/>
        <v>12.83</v>
      </c>
      <c r="T24">
        <v>12</v>
      </c>
      <c r="U24" t="s">
        <v>44</v>
      </c>
      <c r="V24" t="s">
        <v>48</v>
      </c>
      <c r="W24" t="s">
        <v>44</v>
      </c>
      <c r="X24">
        <v>40</v>
      </c>
      <c r="Y24">
        <v>60</v>
      </c>
      <c r="Z24">
        <v>5</v>
      </c>
      <c r="AA24">
        <v>1000</v>
      </c>
      <c r="AB24" t="s">
        <v>49</v>
      </c>
      <c r="AC24" t="s">
        <v>50</v>
      </c>
      <c r="AD24">
        <v>1</v>
      </c>
      <c r="AE24">
        <v>0.10199999999999999</v>
      </c>
      <c r="AF24">
        <v>0.35799999999999998</v>
      </c>
      <c r="AG24">
        <v>-365</v>
      </c>
      <c r="AH24">
        <v>-2</v>
      </c>
      <c r="AI24">
        <v>0.23</v>
      </c>
      <c r="AJ24">
        <v>0.379</v>
      </c>
      <c r="AK24">
        <v>-1080</v>
      </c>
      <c r="AL24">
        <v>1200</v>
      </c>
      <c r="AM24" t="s">
        <v>44</v>
      </c>
      <c r="AN24">
        <v>2.2000000000000002</v>
      </c>
      <c r="AO24" t="s">
        <v>92</v>
      </c>
      <c r="AP24">
        <v>1</v>
      </c>
      <c r="AQ24">
        <v>370</v>
      </c>
    </row>
    <row r="25" spans="1:43" x14ac:dyDescent="0.2">
      <c r="A25" t="s">
        <v>42</v>
      </c>
      <c r="B25" t="s">
        <v>43</v>
      </c>
      <c r="C25">
        <v>86.14</v>
      </c>
      <c r="D25" t="s">
        <v>135</v>
      </c>
      <c r="E25" t="s">
        <v>136</v>
      </c>
      <c r="F25">
        <v>152.15</v>
      </c>
      <c r="G25">
        <v>39</v>
      </c>
      <c r="H25">
        <v>1.95</v>
      </c>
      <c r="I25" t="s">
        <v>45</v>
      </c>
      <c r="J25" t="s">
        <v>46</v>
      </c>
      <c r="K25">
        <v>265.5</v>
      </c>
      <c r="L25">
        <v>3.06</v>
      </c>
      <c r="M25" t="s">
        <v>47</v>
      </c>
      <c r="N25" t="s">
        <v>44</v>
      </c>
      <c r="O25" t="s">
        <v>44</v>
      </c>
      <c r="P25" t="s">
        <v>44</v>
      </c>
      <c r="Q25" t="s">
        <v>44</v>
      </c>
      <c r="R25">
        <v>5.01</v>
      </c>
      <c r="S25" s="5">
        <f t="shared" si="0"/>
        <v>1.94</v>
      </c>
      <c r="T25" t="s">
        <v>44</v>
      </c>
      <c r="U25" t="s">
        <v>44</v>
      </c>
      <c r="V25" t="s">
        <v>48</v>
      </c>
      <c r="W25" t="s">
        <v>44</v>
      </c>
      <c r="X25" t="s">
        <v>44</v>
      </c>
      <c r="Y25" t="s">
        <v>44</v>
      </c>
      <c r="Z25">
        <v>4.5</v>
      </c>
      <c r="AA25">
        <v>585</v>
      </c>
      <c r="AB25" t="s">
        <v>49</v>
      </c>
      <c r="AC25" t="s">
        <v>52</v>
      </c>
      <c r="AD25">
        <v>1</v>
      </c>
      <c r="AE25">
        <v>0.10199999999999999</v>
      </c>
      <c r="AF25">
        <v>0.35799999999999998</v>
      </c>
      <c r="AG25">
        <v>-365</v>
      </c>
      <c r="AH25">
        <v>-1</v>
      </c>
      <c r="AI25">
        <v>0.18099999999999999</v>
      </c>
      <c r="AJ25">
        <v>0.33200000000000002</v>
      </c>
      <c r="AK25">
        <v>-340</v>
      </c>
      <c r="AL25">
        <v>30</v>
      </c>
      <c r="AM25" t="s">
        <v>44</v>
      </c>
      <c r="AN25">
        <v>2.2000000000000002</v>
      </c>
      <c r="AO25" t="s">
        <v>137</v>
      </c>
      <c r="AP25">
        <v>1</v>
      </c>
      <c r="AQ25">
        <v>371</v>
      </c>
    </row>
    <row r="26" spans="1:43" x14ac:dyDescent="0.2">
      <c r="A26" t="s">
        <v>59</v>
      </c>
      <c r="B26" t="s">
        <v>60</v>
      </c>
      <c r="C26">
        <v>43.1</v>
      </c>
      <c r="D26" t="s">
        <v>42</v>
      </c>
      <c r="E26" t="s">
        <v>43</v>
      </c>
      <c r="F26">
        <v>86.14</v>
      </c>
      <c r="G26">
        <v>1.5</v>
      </c>
      <c r="H26">
        <v>3</v>
      </c>
      <c r="I26" t="s">
        <v>45</v>
      </c>
      <c r="J26" t="s">
        <v>46</v>
      </c>
      <c r="K26">
        <v>265.5</v>
      </c>
      <c r="L26">
        <v>0.6</v>
      </c>
      <c r="M26" t="s">
        <v>47</v>
      </c>
      <c r="N26" t="s">
        <v>44</v>
      </c>
      <c r="O26" t="s">
        <v>44</v>
      </c>
      <c r="P26" t="s">
        <v>44</v>
      </c>
      <c r="Q26" t="s">
        <v>44</v>
      </c>
      <c r="R26">
        <v>3.6</v>
      </c>
      <c r="S26" s="5">
        <f t="shared" si="0"/>
        <v>24.64</v>
      </c>
      <c r="T26">
        <v>9.5</v>
      </c>
      <c r="U26" t="s">
        <v>44</v>
      </c>
      <c r="V26" t="s">
        <v>48</v>
      </c>
      <c r="W26" t="s">
        <v>44</v>
      </c>
      <c r="X26">
        <v>20</v>
      </c>
      <c r="Y26">
        <v>75</v>
      </c>
      <c r="Z26">
        <v>8</v>
      </c>
      <c r="AA26">
        <v>500</v>
      </c>
      <c r="AB26" t="s">
        <v>69</v>
      </c>
      <c r="AC26" t="s">
        <v>52</v>
      </c>
      <c r="AD26">
        <v>2</v>
      </c>
      <c r="AE26">
        <v>7.1999999999999995E-2</v>
      </c>
      <c r="AF26">
        <v>0.42799999999999999</v>
      </c>
      <c r="AG26">
        <v>-1830</v>
      </c>
      <c r="AH26">
        <v>-1</v>
      </c>
      <c r="AI26">
        <v>0.18099999999999999</v>
      </c>
      <c r="AJ26">
        <v>0.33200000000000002</v>
      </c>
      <c r="AK26">
        <v>-340</v>
      </c>
      <c r="AL26">
        <v>1800</v>
      </c>
      <c r="AM26" t="s">
        <v>44</v>
      </c>
      <c r="AN26">
        <v>2.2000000000000002</v>
      </c>
      <c r="AO26" t="s">
        <v>143</v>
      </c>
      <c r="AP26">
        <v>1</v>
      </c>
      <c r="AQ26">
        <v>372</v>
      </c>
    </row>
    <row r="27" spans="1:43" x14ac:dyDescent="0.2">
      <c r="A27" t="s">
        <v>144</v>
      </c>
      <c r="B27" t="s">
        <v>145</v>
      </c>
      <c r="C27">
        <v>200.32</v>
      </c>
      <c r="D27" t="s">
        <v>71</v>
      </c>
      <c r="E27" t="s">
        <v>72</v>
      </c>
      <c r="F27">
        <v>101.19</v>
      </c>
      <c r="G27" t="s">
        <v>44</v>
      </c>
      <c r="H27">
        <v>0.5</v>
      </c>
      <c r="I27" t="s">
        <v>45</v>
      </c>
      <c r="J27" t="s">
        <v>46</v>
      </c>
      <c r="K27">
        <v>265.5</v>
      </c>
      <c r="L27">
        <v>0.1</v>
      </c>
      <c r="M27" t="s">
        <v>98</v>
      </c>
      <c r="N27" t="s">
        <v>61</v>
      </c>
      <c r="O27">
        <v>0.1</v>
      </c>
      <c r="P27" t="s">
        <v>154</v>
      </c>
      <c r="Q27">
        <v>1</v>
      </c>
      <c r="R27">
        <v>0.6</v>
      </c>
      <c r="S27" s="5">
        <f t="shared" si="0"/>
        <v>6.63</v>
      </c>
      <c r="T27" t="s">
        <v>44</v>
      </c>
      <c r="U27" t="s">
        <v>61</v>
      </c>
      <c r="V27" t="s">
        <v>106</v>
      </c>
      <c r="W27">
        <v>1</v>
      </c>
      <c r="X27" t="s">
        <v>44</v>
      </c>
      <c r="Y27">
        <v>25</v>
      </c>
      <c r="Z27">
        <v>3</v>
      </c>
      <c r="AA27">
        <v>1000</v>
      </c>
      <c r="AB27" t="s">
        <v>69</v>
      </c>
      <c r="AC27" t="s">
        <v>52</v>
      </c>
      <c r="AD27">
        <v>2</v>
      </c>
      <c r="AE27">
        <v>7.1999999999999995E-2</v>
      </c>
      <c r="AF27">
        <v>0.42799999999999999</v>
      </c>
      <c r="AG27">
        <v>-1830</v>
      </c>
      <c r="AH27">
        <v>-1</v>
      </c>
      <c r="AI27">
        <v>0.18099999999999999</v>
      </c>
      <c r="AJ27">
        <v>0.33200000000000002</v>
      </c>
      <c r="AK27">
        <v>-340</v>
      </c>
      <c r="AL27">
        <v>30</v>
      </c>
      <c r="AM27" t="s">
        <v>44</v>
      </c>
      <c r="AN27">
        <v>2.2000000000000002</v>
      </c>
      <c r="AO27" t="s">
        <v>155</v>
      </c>
      <c r="AP27">
        <v>1</v>
      </c>
      <c r="AQ27">
        <v>414</v>
      </c>
    </row>
    <row r="28" spans="1:43" x14ac:dyDescent="0.2">
      <c r="A28" t="s">
        <v>63</v>
      </c>
      <c r="B28" t="s">
        <v>64</v>
      </c>
      <c r="C28">
        <v>228.29</v>
      </c>
      <c r="D28" t="s">
        <v>44</v>
      </c>
      <c r="G28" t="s">
        <v>44</v>
      </c>
      <c r="H28">
        <v>1</v>
      </c>
      <c r="I28" t="s">
        <v>45</v>
      </c>
      <c r="J28" t="s">
        <v>46</v>
      </c>
      <c r="K28">
        <v>265.5</v>
      </c>
      <c r="L28">
        <v>0.15</v>
      </c>
      <c r="M28" t="s">
        <v>47</v>
      </c>
      <c r="N28" t="s">
        <v>44</v>
      </c>
      <c r="O28" t="s">
        <v>44</v>
      </c>
      <c r="P28" t="s">
        <v>44</v>
      </c>
      <c r="Q28" t="s">
        <v>44</v>
      </c>
      <c r="R28">
        <v>1.1499999999999999</v>
      </c>
      <c r="S28" s="5">
        <f t="shared" si="0"/>
        <v>7.75</v>
      </c>
      <c r="T28" t="s">
        <v>44</v>
      </c>
      <c r="U28" t="s">
        <v>44</v>
      </c>
      <c r="V28" t="s">
        <v>48</v>
      </c>
      <c r="W28" t="s">
        <v>44</v>
      </c>
      <c r="X28" t="s">
        <v>44</v>
      </c>
      <c r="Y28" t="s">
        <v>44</v>
      </c>
      <c r="Z28">
        <v>1.72</v>
      </c>
      <c r="AA28">
        <v>5.8659999999999997</v>
      </c>
      <c r="AB28" t="s">
        <v>49</v>
      </c>
      <c r="AC28" t="s">
        <v>52</v>
      </c>
      <c r="AD28">
        <v>1</v>
      </c>
      <c r="AE28">
        <v>0.10199999999999999</v>
      </c>
      <c r="AF28">
        <v>0.35799999999999998</v>
      </c>
      <c r="AG28">
        <v>-365</v>
      </c>
      <c r="AH28">
        <v>-1</v>
      </c>
      <c r="AI28">
        <v>0.18099999999999999</v>
      </c>
      <c r="AJ28">
        <v>0.33200000000000002</v>
      </c>
      <c r="AK28">
        <v>-340</v>
      </c>
      <c r="AL28">
        <v>90</v>
      </c>
      <c r="AM28" t="s">
        <v>44</v>
      </c>
      <c r="AN28">
        <v>2.2999999999999998</v>
      </c>
      <c r="AO28" t="s">
        <v>65</v>
      </c>
      <c r="AP28">
        <v>1</v>
      </c>
      <c r="AQ28">
        <v>367</v>
      </c>
    </row>
    <row r="29" spans="1:43" x14ac:dyDescent="0.2">
      <c r="A29" t="s">
        <v>63</v>
      </c>
      <c r="B29" t="s">
        <v>64</v>
      </c>
      <c r="C29">
        <v>228.29</v>
      </c>
      <c r="D29" t="s">
        <v>44</v>
      </c>
      <c r="G29" t="s">
        <v>44</v>
      </c>
      <c r="H29">
        <v>1</v>
      </c>
      <c r="I29" t="s">
        <v>45</v>
      </c>
      <c r="J29" t="s">
        <v>46</v>
      </c>
      <c r="K29">
        <v>265.5</v>
      </c>
      <c r="L29">
        <v>0.15</v>
      </c>
      <c r="M29" t="s">
        <v>47</v>
      </c>
      <c r="N29" t="s">
        <v>44</v>
      </c>
      <c r="O29" t="s">
        <v>44</v>
      </c>
      <c r="P29" t="s">
        <v>44</v>
      </c>
      <c r="Q29" t="s">
        <v>44</v>
      </c>
      <c r="R29">
        <v>1.1499999999999999</v>
      </c>
      <c r="S29" s="5">
        <f t="shared" si="0"/>
        <v>7.75</v>
      </c>
      <c r="T29" t="s">
        <v>44</v>
      </c>
      <c r="U29" t="s">
        <v>44</v>
      </c>
      <c r="V29" t="s">
        <v>48</v>
      </c>
      <c r="W29" t="s">
        <v>44</v>
      </c>
      <c r="X29" t="s">
        <v>44</v>
      </c>
      <c r="Y29" t="s">
        <v>44</v>
      </c>
      <c r="Z29">
        <v>1.72</v>
      </c>
      <c r="AA29">
        <v>0.58660000000000001</v>
      </c>
      <c r="AB29" t="s">
        <v>49</v>
      </c>
      <c r="AC29" t="s">
        <v>52</v>
      </c>
      <c r="AD29">
        <v>1</v>
      </c>
      <c r="AE29">
        <v>0.10199999999999999</v>
      </c>
      <c r="AF29">
        <v>0.35799999999999998</v>
      </c>
      <c r="AG29">
        <v>-365</v>
      </c>
      <c r="AH29">
        <v>-1</v>
      </c>
      <c r="AI29">
        <v>0.18099999999999999</v>
      </c>
      <c r="AJ29">
        <v>0.33200000000000002</v>
      </c>
      <c r="AK29">
        <v>-340</v>
      </c>
      <c r="AL29">
        <v>90</v>
      </c>
      <c r="AM29" t="s">
        <v>44</v>
      </c>
      <c r="AN29">
        <v>2.2999999999999998</v>
      </c>
      <c r="AO29" t="s">
        <v>65</v>
      </c>
      <c r="AP29">
        <v>1</v>
      </c>
      <c r="AQ29">
        <v>368</v>
      </c>
    </row>
    <row r="30" spans="1:43" x14ac:dyDescent="0.2">
      <c r="A30" t="s">
        <v>89</v>
      </c>
      <c r="B30" t="s">
        <v>90</v>
      </c>
      <c r="C30">
        <v>136.15</v>
      </c>
      <c r="D30" t="s">
        <v>44</v>
      </c>
      <c r="G30" t="s">
        <v>44</v>
      </c>
      <c r="H30">
        <v>5</v>
      </c>
      <c r="I30" t="s">
        <v>45</v>
      </c>
      <c r="J30" t="s">
        <v>46</v>
      </c>
      <c r="K30">
        <v>265.5</v>
      </c>
      <c r="L30">
        <v>0.45600000000000002</v>
      </c>
      <c r="M30" t="s">
        <v>47</v>
      </c>
      <c r="N30" t="s">
        <v>44</v>
      </c>
      <c r="O30" t="s">
        <v>44</v>
      </c>
      <c r="P30" t="s">
        <v>91</v>
      </c>
      <c r="Q30" t="s">
        <v>44</v>
      </c>
      <c r="R30">
        <v>5.4560000000000004</v>
      </c>
      <c r="S30" s="5">
        <f t="shared" si="0"/>
        <v>21.38</v>
      </c>
      <c r="T30">
        <v>12</v>
      </c>
      <c r="U30" t="s">
        <v>44</v>
      </c>
      <c r="V30" t="s">
        <v>48</v>
      </c>
      <c r="W30" t="s">
        <v>44</v>
      </c>
      <c r="X30">
        <v>40</v>
      </c>
      <c r="Y30">
        <v>60</v>
      </c>
      <c r="Z30">
        <v>5</v>
      </c>
      <c r="AA30">
        <v>1000</v>
      </c>
      <c r="AB30" t="s">
        <v>49</v>
      </c>
      <c r="AC30" t="s">
        <v>50</v>
      </c>
      <c r="AD30">
        <v>1</v>
      </c>
      <c r="AE30">
        <v>0.10199999999999999</v>
      </c>
      <c r="AF30">
        <v>0.35799999999999998</v>
      </c>
      <c r="AG30">
        <v>-365</v>
      </c>
      <c r="AH30">
        <v>-2</v>
      </c>
      <c r="AI30">
        <v>0.23</v>
      </c>
      <c r="AJ30">
        <v>0.379</v>
      </c>
      <c r="AK30">
        <v>-1080</v>
      </c>
      <c r="AL30">
        <v>300</v>
      </c>
      <c r="AM30" t="s">
        <v>44</v>
      </c>
      <c r="AN30">
        <v>2.2999999999999998</v>
      </c>
      <c r="AO30" t="s">
        <v>92</v>
      </c>
      <c r="AP30">
        <v>1</v>
      </c>
      <c r="AQ30">
        <v>369</v>
      </c>
    </row>
    <row r="31" spans="1:43" x14ac:dyDescent="0.2">
      <c r="A31" t="s">
        <v>59</v>
      </c>
      <c r="B31" t="s">
        <v>60</v>
      </c>
      <c r="C31">
        <v>43.1</v>
      </c>
      <c r="D31" t="s">
        <v>42</v>
      </c>
      <c r="E31" t="s">
        <v>43</v>
      </c>
      <c r="F31">
        <v>86.14</v>
      </c>
      <c r="G31">
        <v>1.5</v>
      </c>
      <c r="H31">
        <v>3</v>
      </c>
      <c r="I31" t="s">
        <v>45</v>
      </c>
      <c r="J31" t="s">
        <v>46</v>
      </c>
      <c r="K31">
        <v>265.5</v>
      </c>
      <c r="L31">
        <v>0.6</v>
      </c>
      <c r="M31" t="s">
        <v>47</v>
      </c>
      <c r="N31" t="s">
        <v>44</v>
      </c>
      <c r="O31" t="s">
        <v>44</v>
      </c>
      <c r="P31" t="s">
        <v>44</v>
      </c>
      <c r="Q31" t="s">
        <v>44</v>
      </c>
      <c r="R31">
        <v>3.6</v>
      </c>
      <c r="S31" s="5">
        <f t="shared" si="0"/>
        <v>24.64</v>
      </c>
      <c r="T31">
        <v>9.5</v>
      </c>
      <c r="U31" t="s">
        <v>44</v>
      </c>
      <c r="V31" t="s">
        <v>48</v>
      </c>
      <c r="W31" t="s">
        <v>44</v>
      </c>
      <c r="X31">
        <v>20</v>
      </c>
      <c r="Y31">
        <v>75</v>
      </c>
      <c r="Z31">
        <v>8</v>
      </c>
      <c r="AA31">
        <v>500</v>
      </c>
      <c r="AB31" t="s">
        <v>49</v>
      </c>
      <c r="AC31" t="s">
        <v>52</v>
      </c>
      <c r="AD31">
        <v>1</v>
      </c>
      <c r="AE31">
        <v>0.10199999999999999</v>
      </c>
      <c r="AF31">
        <v>0.35799999999999998</v>
      </c>
      <c r="AG31">
        <v>-365</v>
      </c>
      <c r="AH31">
        <v>-1</v>
      </c>
      <c r="AI31">
        <v>0.18099999999999999</v>
      </c>
      <c r="AJ31">
        <v>0.33200000000000002</v>
      </c>
      <c r="AK31">
        <v>-340</v>
      </c>
      <c r="AL31">
        <v>1800</v>
      </c>
      <c r="AM31" t="s">
        <v>44</v>
      </c>
      <c r="AN31">
        <v>2.4</v>
      </c>
      <c r="AO31" t="s">
        <v>143</v>
      </c>
      <c r="AP31">
        <v>1</v>
      </c>
      <c r="AQ31">
        <v>272</v>
      </c>
    </row>
    <row r="32" spans="1:43" x14ac:dyDescent="0.2">
      <c r="A32" t="s">
        <v>63</v>
      </c>
      <c r="B32" t="s">
        <v>64</v>
      </c>
      <c r="C32">
        <v>228.29</v>
      </c>
      <c r="D32" t="s">
        <v>44</v>
      </c>
      <c r="G32" t="s">
        <v>44</v>
      </c>
      <c r="H32">
        <v>1</v>
      </c>
      <c r="I32" t="s">
        <v>45</v>
      </c>
      <c r="J32" t="s">
        <v>46</v>
      </c>
      <c r="K32">
        <v>265.5</v>
      </c>
      <c r="L32">
        <v>0.15</v>
      </c>
      <c r="M32" t="s">
        <v>47</v>
      </c>
      <c r="N32" t="s">
        <v>44</v>
      </c>
      <c r="O32" t="s">
        <v>44</v>
      </c>
      <c r="P32" t="s">
        <v>44</v>
      </c>
      <c r="Q32" t="s">
        <v>44</v>
      </c>
      <c r="R32">
        <v>1.1499999999999999</v>
      </c>
      <c r="S32" s="5">
        <f t="shared" si="0"/>
        <v>7.75</v>
      </c>
      <c r="T32" t="s">
        <v>44</v>
      </c>
      <c r="U32" t="s">
        <v>44</v>
      </c>
      <c r="V32" t="s">
        <v>48</v>
      </c>
      <c r="W32" t="s">
        <v>44</v>
      </c>
      <c r="X32" t="s">
        <v>44</v>
      </c>
      <c r="Y32" t="s">
        <v>44</v>
      </c>
      <c r="Z32">
        <v>3.1</v>
      </c>
      <c r="AA32">
        <v>0.58660000000000001</v>
      </c>
      <c r="AB32" t="s">
        <v>49</v>
      </c>
      <c r="AC32" t="s">
        <v>52</v>
      </c>
      <c r="AD32">
        <v>1</v>
      </c>
      <c r="AE32">
        <v>0.10199999999999999</v>
      </c>
      <c r="AF32">
        <v>0.35799999999999998</v>
      </c>
      <c r="AG32">
        <v>-365</v>
      </c>
      <c r="AH32">
        <v>-1</v>
      </c>
      <c r="AI32">
        <v>0.18099999999999999</v>
      </c>
      <c r="AJ32">
        <v>0.33200000000000002</v>
      </c>
      <c r="AK32">
        <v>-340</v>
      </c>
      <c r="AL32">
        <v>90</v>
      </c>
      <c r="AM32" t="s">
        <v>44</v>
      </c>
      <c r="AN32">
        <v>2.4</v>
      </c>
      <c r="AO32" t="s">
        <v>65</v>
      </c>
      <c r="AP32">
        <v>1</v>
      </c>
      <c r="AQ32">
        <v>360</v>
      </c>
    </row>
    <row r="33" spans="1:43" x14ac:dyDescent="0.2">
      <c r="A33" t="s">
        <v>63</v>
      </c>
      <c r="B33" t="s">
        <v>64</v>
      </c>
      <c r="C33">
        <v>228.29</v>
      </c>
      <c r="D33" t="s">
        <v>44</v>
      </c>
      <c r="G33" t="s">
        <v>44</v>
      </c>
      <c r="H33">
        <v>1</v>
      </c>
      <c r="I33" t="s">
        <v>45</v>
      </c>
      <c r="J33" t="s">
        <v>46</v>
      </c>
      <c r="K33">
        <v>265.5</v>
      </c>
      <c r="L33">
        <v>0.15</v>
      </c>
      <c r="M33" t="s">
        <v>47</v>
      </c>
      <c r="N33" t="s">
        <v>44</v>
      </c>
      <c r="O33" t="s">
        <v>44</v>
      </c>
      <c r="P33" t="s">
        <v>44</v>
      </c>
      <c r="Q33" t="s">
        <v>44</v>
      </c>
      <c r="R33">
        <v>1.1499999999999999</v>
      </c>
      <c r="S33" s="5">
        <f t="shared" si="0"/>
        <v>7.75</v>
      </c>
      <c r="T33" t="s">
        <v>44</v>
      </c>
      <c r="U33" t="s">
        <v>44</v>
      </c>
      <c r="V33" t="s">
        <v>48</v>
      </c>
      <c r="W33" t="s">
        <v>44</v>
      </c>
      <c r="X33" t="s">
        <v>44</v>
      </c>
      <c r="Y33" t="s">
        <v>44</v>
      </c>
      <c r="Z33">
        <v>1.72</v>
      </c>
      <c r="AA33">
        <v>5.8659999999999997E-2</v>
      </c>
      <c r="AB33" t="s">
        <v>49</v>
      </c>
      <c r="AC33" t="s">
        <v>52</v>
      </c>
      <c r="AD33">
        <v>1</v>
      </c>
      <c r="AE33">
        <v>0.10199999999999999</v>
      </c>
      <c r="AF33">
        <v>0.35799999999999998</v>
      </c>
      <c r="AG33">
        <v>-365</v>
      </c>
      <c r="AH33">
        <v>-1</v>
      </c>
      <c r="AI33">
        <v>0.18099999999999999</v>
      </c>
      <c r="AJ33">
        <v>0.33200000000000002</v>
      </c>
      <c r="AK33">
        <v>-340</v>
      </c>
      <c r="AL33">
        <v>90</v>
      </c>
      <c r="AM33" t="s">
        <v>44</v>
      </c>
      <c r="AN33">
        <v>2.4</v>
      </c>
      <c r="AO33" t="s">
        <v>65</v>
      </c>
      <c r="AP33">
        <v>1</v>
      </c>
      <c r="AQ33">
        <v>361</v>
      </c>
    </row>
    <row r="34" spans="1:43" x14ac:dyDescent="0.2">
      <c r="A34" t="s">
        <v>63</v>
      </c>
      <c r="B34" t="s">
        <v>64</v>
      </c>
      <c r="C34">
        <v>228.29</v>
      </c>
      <c r="D34" t="s">
        <v>44</v>
      </c>
      <c r="G34" t="s">
        <v>44</v>
      </c>
      <c r="H34">
        <v>1</v>
      </c>
      <c r="I34" t="s">
        <v>45</v>
      </c>
      <c r="J34" t="s">
        <v>46</v>
      </c>
      <c r="K34">
        <v>265.5</v>
      </c>
      <c r="L34">
        <v>0.15</v>
      </c>
      <c r="M34" t="s">
        <v>47</v>
      </c>
      <c r="N34" t="s">
        <v>44</v>
      </c>
      <c r="O34" t="s">
        <v>44</v>
      </c>
      <c r="P34" t="s">
        <v>44</v>
      </c>
      <c r="Q34" t="s">
        <v>44</v>
      </c>
      <c r="R34">
        <v>1.1499999999999999</v>
      </c>
      <c r="S34" s="5">
        <f t="shared" si="0"/>
        <v>7.75</v>
      </c>
      <c r="T34" t="s">
        <v>44</v>
      </c>
      <c r="U34" t="s">
        <v>44</v>
      </c>
      <c r="V34" t="s">
        <v>48</v>
      </c>
      <c r="W34" t="s">
        <v>44</v>
      </c>
      <c r="X34" t="s">
        <v>44</v>
      </c>
      <c r="Y34" t="s">
        <v>44</v>
      </c>
      <c r="Z34">
        <v>3.1</v>
      </c>
      <c r="AA34">
        <v>5.8659999999999997E-2</v>
      </c>
      <c r="AB34" t="s">
        <v>49</v>
      </c>
      <c r="AC34" t="s">
        <v>52</v>
      </c>
      <c r="AD34">
        <v>1</v>
      </c>
      <c r="AE34">
        <v>0.10199999999999999</v>
      </c>
      <c r="AF34">
        <v>0.35799999999999998</v>
      </c>
      <c r="AG34">
        <v>-365</v>
      </c>
      <c r="AH34">
        <v>-1</v>
      </c>
      <c r="AI34">
        <v>0.18099999999999999</v>
      </c>
      <c r="AJ34">
        <v>0.33200000000000002</v>
      </c>
      <c r="AK34">
        <v>-340</v>
      </c>
      <c r="AL34">
        <v>90</v>
      </c>
      <c r="AM34" t="s">
        <v>44</v>
      </c>
      <c r="AN34">
        <v>2.4</v>
      </c>
      <c r="AO34" t="s">
        <v>65</v>
      </c>
      <c r="AP34">
        <v>1</v>
      </c>
      <c r="AQ34">
        <v>362</v>
      </c>
    </row>
    <row r="35" spans="1:43" x14ac:dyDescent="0.2">
      <c r="A35" t="s">
        <v>42</v>
      </c>
      <c r="B35" t="s">
        <v>43</v>
      </c>
      <c r="C35">
        <v>86.14</v>
      </c>
      <c r="D35" t="s">
        <v>135</v>
      </c>
      <c r="E35" t="s">
        <v>136</v>
      </c>
      <c r="F35">
        <v>152.15</v>
      </c>
      <c r="G35">
        <v>39</v>
      </c>
      <c r="H35">
        <v>1.95</v>
      </c>
      <c r="I35" t="s">
        <v>45</v>
      </c>
      <c r="J35" t="s">
        <v>46</v>
      </c>
      <c r="K35">
        <v>265.5</v>
      </c>
      <c r="L35">
        <v>0.22900000000000001</v>
      </c>
      <c r="M35" t="s">
        <v>47</v>
      </c>
      <c r="N35" t="s">
        <v>44</v>
      </c>
      <c r="O35" t="s">
        <v>44</v>
      </c>
      <c r="P35" t="s">
        <v>44</v>
      </c>
      <c r="Q35" t="s">
        <v>44</v>
      </c>
      <c r="R35">
        <v>2.1789999999999998</v>
      </c>
      <c r="S35" s="5">
        <f t="shared" si="0"/>
        <v>25.96</v>
      </c>
      <c r="T35" t="s">
        <v>44</v>
      </c>
      <c r="U35" t="s">
        <v>44</v>
      </c>
      <c r="V35" t="s">
        <v>48</v>
      </c>
      <c r="W35" t="s">
        <v>44</v>
      </c>
      <c r="X35" t="s">
        <v>44</v>
      </c>
      <c r="Y35" t="s">
        <v>44</v>
      </c>
      <c r="Z35">
        <v>4.5</v>
      </c>
      <c r="AA35">
        <v>100</v>
      </c>
      <c r="AB35" t="s">
        <v>127</v>
      </c>
      <c r="AC35" t="s">
        <v>50</v>
      </c>
      <c r="AD35">
        <v>2</v>
      </c>
      <c r="AE35">
        <v>7.2999999999999995E-2</v>
      </c>
      <c r="AF35">
        <v>0.41899999999999998</v>
      </c>
      <c r="AG35">
        <v>-2010</v>
      </c>
      <c r="AH35">
        <v>-2</v>
      </c>
      <c r="AI35">
        <v>0.23</v>
      </c>
      <c r="AJ35">
        <v>0.379</v>
      </c>
      <c r="AK35">
        <v>-1080</v>
      </c>
      <c r="AL35">
        <v>30</v>
      </c>
      <c r="AM35" t="s">
        <v>44</v>
      </c>
      <c r="AN35">
        <v>2.4</v>
      </c>
      <c r="AO35" t="s">
        <v>137</v>
      </c>
      <c r="AP35">
        <v>1</v>
      </c>
      <c r="AQ35">
        <v>363</v>
      </c>
    </row>
    <row r="36" spans="1:43" x14ac:dyDescent="0.2">
      <c r="A36" t="s">
        <v>42</v>
      </c>
      <c r="B36" t="s">
        <v>43</v>
      </c>
      <c r="C36">
        <v>86.14</v>
      </c>
      <c r="D36" t="s">
        <v>135</v>
      </c>
      <c r="E36" t="s">
        <v>136</v>
      </c>
      <c r="F36">
        <v>152.15</v>
      </c>
      <c r="G36">
        <v>39</v>
      </c>
      <c r="H36">
        <v>1.95</v>
      </c>
      <c r="I36" t="s">
        <v>45</v>
      </c>
      <c r="J36" t="s">
        <v>46</v>
      </c>
      <c r="K36">
        <v>265.5</v>
      </c>
      <c r="L36">
        <v>3.06</v>
      </c>
      <c r="M36" t="s">
        <v>47</v>
      </c>
      <c r="N36" t="s">
        <v>44</v>
      </c>
      <c r="O36" t="s">
        <v>44</v>
      </c>
      <c r="P36" t="s">
        <v>44</v>
      </c>
      <c r="Q36" t="s">
        <v>44</v>
      </c>
      <c r="R36">
        <v>5.01</v>
      </c>
      <c r="S36" s="5">
        <f t="shared" si="0"/>
        <v>1.94</v>
      </c>
      <c r="T36" t="s">
        <v>44</v>
      </c>
      <c r="U36" t="s">
        <v>44</v>
      </c>
      <c r="V36" t="s">
        <v>48</v>
      </c>
      <c r="W36" t="s">
        <v>44</v>
      </c>
      <c r="X36" t="s">
        <v>44</v>
      </c>
      <c r="Y36" t="s">
        <v>44</v>
      </c>
      <c r="Z36">
        <v>4.5</v>
      </c>
      <c r="AA36">
        <v>100</v>
      </c>
      <c r="AB36" t="s">
        <v>127</v>
      </c>
      <c r="AC36" t="s">
        <v>50</v>
      </c>
      <c r="AD36">
        <v>2</v>
      </c>
      <c r="AE36">
        <v>7.2999999999999995E-2</v>
      </c>
      <c r="AF36">
        <v>0.41899999999999998</v>
      </c>
      <c r="AG36">
        <v>-2010</v>
      </c>
      <c r="AH36">
        <v>-2</v>
      </c>
      <c r="AI36">
        <v>0.23</v>
      </c>
      <c r="AJ36">
        <v>0.379</v>
      </c>
      <c r="AK36">
        <v>-1080</v>
      </c>
      <c r="AL36">
        <v>30</v>
      </c>
      <c r="AM36" t="s">
        <v>44</v>
      </c>
      <c r="AN36">
        <v>2.4</v>
      </c>
      <c r="AO36" t="s">
        <v>137</v>
      </c>
      <c r="AP36">
        <v>1</v>
      </c>
      <c r="AQ36">
        <v>364</v>
      </c>
    </row>
    <row r="37" spans="1:43" x14ac:dyDescent="0.2">
      <c r="A37" t="s">
        <v>59</v>
      </c>
      <c r="B37" t="s">
        <v>60</v>
      </c>
      <c r="C37">
        <v>43.1</v>
      </c>
      <c r="D37" t="s">
        <v>42</v>
      </c>
      <c r="E37" t="s">
        <v>43</v>
      </c>
      <c r="F37">
        <v>86.14</v>
      </c>
      <c r="G37">
        <v>1.5</v>
      </c>
      <c r="H37">
        <v>3</v>
      </c>
      <c r="I37" t="s">
        <v>45</v>
      </c>
      <c r="J37" t="s">
        <v>46</v>
      </c>
      <c r="K37">
        <v>265.5</v>
      </c>
      <c r="L37">
        <v>0.6</v>
      </c>
      <c r="M37" t="s">
        <v>47</v>
      </c>
      <c r="N37" t="s">
        <v>44</v>
      </c>
      <c r="O37" t="s">
        <v>44</v>
      </c>
      <c r="P37" t="s">
        <v>44</v>
      </c>
      <c r="Q37" t="s">
        <v>44</v>
      </c>
      <c r="R37">
        <v>3.6</v>
      </c>
      <c r="S37" s="5">
        <f t="shared" si="0"/>
        <v>24.64</v>
      </c>
      <c r="T37">
        <v>9.5</v>
      </c>
      <c r="U37" t="s">
        <v>44</v>
      </c>
      <c r="V37" t="s">
        <v>48</v>
      </c>
      <c r="W37" t="s">
        <v>44</v>
      </c>
      <c r="X37">
        <v>20</v>
      </c>
      <c r="Y37">
        <v>75</v>
      </c>
      <c r="Z37">
        <v>8</v>
      </c>
      <c r="AA37">
        <v>500</v>
      </c>
      <c r="AB37" t="s">
        <v>69</v>
      </c>
      <c r="AC37" t="s">
        <v>50</v>
      </c>
      <c r="AD37">
        <v>2</v>
      </c>
      <c r="AE37">
        <v>7.1999999999999995E-2</v>
      </c>
      <c r="AF37">
        <v>0.42799999999999999</v>
      </c>
      <c r="AG37">
        <v>-1830</v>
      </c>
      <c r="AH37">
        <v>-2</v>
      </c>
      <c r="AI37">
        <v>0.23</v>
      </c>
      <c r="AJ37">
        <v>0.379</v>
      </c>
      <c r="AK37">
        <v>-1080</v>
      </c>
      <c r="AL37">
        <v>1800</v>
      </c>
      <c r="AM37" t="s">
        <v>44</v>
      </c>
      <c r="AN37">
        <v>2.4</v>
      </c>
      <c r="AO37" t="s">
        <v>143</v>
      </c>
      <c r="AP37">
        <v>1</v>
      </c>
      <c r="AQ37">
        <v>365</v>
      </c>
    </row>
    <row r="38" spans="1:43" x14ac:dyDescent="0.2">
      <c r="A38" t="s">
        <v>42</v>
      </c>
      <c r="B38" t="s">
        <v>43</v>
      </c>
      <c r="C38">
        <v>86.14</v>
      </c>
      <c r="D38" t="s">
        <v>71</v>
      </c>
      <c r="E38" t="s">
        <v>72</v>
      </c>
      <c r="F38">
        <v>101.19</v>
      </c>
      <c r="G38">
        <v>1</v>
      </c>
      <c r="H38">
        <v>3.0539999999999998</v>
      </c>
      <c r="I38" t="s">
        <v>45</v>
      </c>
      <c r="J38" t="s">
        <v>46</v>
      </c>
      <c r="K38">
        <v>265.5</v>
      </c>
      <c r="L38">
        <v>0.1</v>
      </c>
      <c r="M38" t="s">
        <v>47</v>
      </c>
      <c r="N38" t="s">
        <v>149</v>
      </c>
      <c r="O38">
        <v>2.5</v>
      </c>
      <c r="P38" t="s">
        <v>44</v>
      </c>
      <c r="Q38" t="s">
        <v>44</v>
      </c>
      <c r="R38">
        <v>3.1539999999999999</v>
      </c>
      <c r="S38" s="5">
        <f t="shared" si="0"/>
        <v>87.13</v>
      </c>
      <c r="T38" t="s">
        <v>44</v>
      </c>
      <c r="U38" t="s">
        <v>44</v>
      </c>
      <c r="V38" t="s">
        <v>48</v>
      </c>
      <c r="W38" t="s">
        <v>44</v>
      </c>
      <c r="X38">
        <v>10</v>
      </c>
      <c r="Y38" t="s">
        <v>44</v>
      </c>
      <c r="Z38">
        <v>4.8</v>
      </c>
      <c r="AA38">
        <v>2000</v>
      </c>
      <c r="AB38" t="s">
        <v>69</v>
      </c>
      <c r="AC38" t="s">
        <v>50</v>
      </c>
      <c r="AD38">
        <v>2</v>
      </c>
      <c r="AE38">
        <v>7.1999999999999995E-2</v>
      </c>
      <c r="AF38">
        <v>0.42799999999999999</v>
      </c>
      <c r="AG38">
        <v>-1830</v>
      </c>
      <c r="AH38">
        <v>-2</v>
      </c>
      <c r="AI38">
        <v>0.23</v>
      </c>
      <c r="AJ38">
        <v>0.379</v>
      </c>
      <c r="AK38">
        <v>-1080</v>
      </c>
      <c r="AL38">
        <v>60</v>
      </c>
      <c r="AM38" t="s">
        <v>44</v>
      </c>
      <c r="AN38">
        <v>2.4</v>
      </c>
      <c r="AO38" t="s">
        <v>73</v>
      </c>
      <c r="AP38">
        <v>1</v>
      </c>
      <c r="AQ38">
        <v>366</v>
      </c>
    </row>
    <row r="39" spans="1:43" x14ac:dyDescent="0.2">
      <c r="A39" t="s">
        <v>144</v>
      </c>
      <c r="B39" t="s">
        <v>145</v>
      </c>
      <c r="C39">
        <v>200.32</v>
      </c>
      <c r="D39" t="s">
        <v>71</v>
      </c>
      <c r="E39" t="s">
        <v>72</v>
      </c>
      <c r="F39">
        <v>101.19</v>
      </c>
      <c r="G39" t="s">
        <v>44</v>
      </c>
      <c r="H39">
        <v>1</v>
      </c>
      <c r="I39" t="s">
        <v>45</v>
      </c>
      <c r="J39" t="s">
        <v>46</v>
      </c>
      <c r="K39">
        <v>265.5</v>
      </c>
      <c r="L39">
        <v>0.1</v>
      </c>
      <c r="M39" t="s">
        <v>98</v>
      </c>
      <c r="N39" t="s">
        <v>61</v>
      </c>
      <c r="O39">
        <v>0.1</v>
      </c>
      <c r="P39" t="s">
        <v>154</v>
      </c>
      <c r="Q39">
        <v>1</v>
      </c>
      <c r="R39">
        <v>1.1000000000000001</v>
      </c>
      <c r="S39" s="5">
        <f t="shared" si="0"/>
        <v>13.25</v>
      </c>
      <c r="T39" t="s">
        <v>44</v>
      </c>
      <c r="U39" t="s">
        <v>61</v>
      </c>
      <c r="V39" t="s">
        <v>106</v>
      </c>
      <c r="W39">
        <v>1</v>
      </c>
      <c r="X39" t="s">
        <v>44</v>
      </c>
      <c r="Y39">
        <v>25</v>
      </c>
      <c r="Z39">
        <v>3</v>
      </c>
      <c r="AA39">
        <v>1000</v>
      </c>
      <c r="AB39" t="s">
        <v>69</v>
      </c>
      <c r="AC39" t="s">
        <v>52</v>
      </c>
      <c r="AD39">
        <v>2</v>
      </c>
      <c r="AE39">
        <v>7.1999999999999995E-2</v>
      </c>
      <c r="AF39">
        <v>0.42799999999999999</v>
      </c>
      <c r="AG39">
        <v>-1830</v>
      </c>
      <c r="AH39">
        <v>-1</v>
      </c>
      <c r="AI39">
        <v>0.18099999999999999</v>
      </c>
      <c r="AJ39">
        <v>0.33200000000000002</v>
      </c>
      <c r="AK39">
        <v>-340</v>
      </c>
      <c r="AL39">
        <v>50</v>
      </c>
      <c r="AM39" t="s">
        <v>44</v>
      </c>
      <c r="AN39">
        <v>2.4</v>
      </c>
      <c r="AO39" t="s">
        <v>155</v>
      </c>
      <c r="AP39">
        <v>1</v>
      </c>
      <c r="AQ39">
        <v>408</v>
      </c>
    </row>
    <row r="40" spans="1:43" x14ac:dyDescent="0.2">
      <c r="A40" t="s">
        <v>144</v>
      </c>
      <c r="B40" t="s">
        <v>145</v>
      </c>
      <c r="C40">
        <v>200.32</v>
      </c>
      <c r="D40" t="s">
        <v>71</v>
      </c>
      <c r="E40" t="s">
        <v>72</v>
      </c>
      <c r="F40">
        <v>101.19</v>
      </c>
      <c r="G40" t="s">
        <v>44</v>
      </c>
      <c r="H40">
        <v>0.75</v>
      </c>
      <c r="I40" t="s">
        <v>45</v>
      </c>
      <c r="J40" t="s">
        <v>46</v>
      </c>
      <c r="K40">
        <v>265.5</v>
      </c>
      <c r="L40">
        <v>0.1</v>
      </c>
      <c r="M40" t="s">
        <v>98</v>
      </c>
      <c r="N40" t="s">
        <v>61</v>
      </c>
      <c r="O40">
        <v>0.1</v>
      </c>
      <c r="P40" t="s">
        <v>154</v>
      </c>
      <c r="Q40">
        <v>1</v>
      </c>
      <c r="R40">
        <v>0.85</v>
      </c>
      <c r="S40" s="5">
        <f t="shared" si="0"/>
        <v>9.94</v>
      </c>
      <c r="T40" t="s">
        <v>44</v>
      </c>
      <c r="U40" t="s">
        <v>61</v>
      </c>
      <c r="V40" t="s">
        <v>106</v>
      </c>
      <c r="W40">
        <v>1</v>
      </c>
      <c r="X40" t="s">
        <v>44</v>
      </c>
      <c r="Y40">
        <v>25</v>
      </c>
      <c r="Z40">
        <v>3</v>
      </c>
      <c r="AA40">
        <v>1000</v>
      </c>
      <c r="AB40" t="s">
        <v>150</v>
      </c>
      <c r="AC40" t="s">
        <v>52</v>
      </c>
      <c r="AD40">
        <v>1</v>
      </c>
      <c r="AE40">
        <v>6.9000000000000006E-2</v>
      </c>
      <c r="AF40">
        <v>0.38200000000000001</v>
      </c>
      <c r="AG40">
        <v>-475</v>
      </c>
      <c r="AH40">
        <v>-1</v>
      </c>
      <c r="AI40">
        <v>0.18099999999999999</v>
      </c>
      <c r="AJ40">
        <v>0.33200000000000002</v>
      </c>
      <c r="AK40">
        <v>-340</v>
      </c>
      <c r="AL40">
        <v>30</v>
      </c>
      <c r="AM40" t="s">
        <v>44</v>
      </c>
      <c r="AN40">
        <v>2.4</v>
      </c>
      <c r="AO40" t="s">
        <v>155</v>
      </c>
      <c r="AP40">
        <v>1</v>
      </c>
      <c r="AQ40">
        <v>410</v>
      </c>
    </row>
    <row r="41" spans="1:43" x14ac:dyDescent="0.2">
      <c r="A41" t="s">
        <v>144</v>
      </c>
      <c r="B41" t="s">
        <v>145</v>
      </c>
      <c r="C41">
        <v>200.32</v>
      </c>
      <c r="D41" t="s">
        <v>71</v>
      </c>
      <c r="E41" t="s">
        <v>72</v>
      </c>
      <c r="F41">
        <v>101.19</v>
      </c>
      <c r="G41" t="s">
        <v>44</v>
      </c>
      <c r="H41">
        <v>1.25</v>
      </c>
      <c r="I41" t="s">
        <v>45</v>
      </c>
      <c r="J41" t="s">
        <v>46</v>
      </c>
      <c r="K41">
        <v>265.5</v>
      </c>
      <c r="L41">
        <v>0.1</v>
      </c>
      <c r="M41" t="s">
        <v>98</v>
      </c>
      <c r="N41" t="s">
        <v>61</v>
      </c>
      <c r="O41">
        <v>0.1</v>
      </c>
      <c r="P41" t="s">
        <v>154</v>
      </c>
      <c r="Q41">
        <v>1</v>
      </c>
      <c r="R41">
        <v>1.35</v>
      </c>
      <c r="S41" s="5">
        <f t="shared" si="0"/>
        <v>16.57</v>
      </c>
      <c r="T41" t="s">
        <v>44</v>
      </c>
      <c r="U41" t="s">
        <v>61</v>
      </c>
      <c r="V41" t="s">
        <v>106</v>
      </c>
      <c r="W41">
        <v>1</v>
      </c>
      <c r="X41" t="s">
        <v>44</v>
      </c>
      <c r="Y41">
        <v>25</v>
      </c>
      <c r="Z41">
        <v>3</v>
      </c>
      <c r="AA41">
        <v>1000</v>
      </c>
      <c r="AB41" t="s">
        <v>69</v>
      </c>
      <c r="AC41" t="s">
        <v>52</v>
      </c>
      <c r="AD41">
        <v>2</v>
      </c>
      <c r="AE41">
        <v>7.1999999999999995E-2</v>
      </c>
      <c r="AF41">
        <v>0.42799999999999999</v>
      </c>
      <c r="AG41">
        <v>-1830</v>
      </c>
      <c r="AH41">
        <v>-1</v>
      </c>
      <c r="AI41">
        <v>0.18099999999999999</v>
      </c>
      <c r="AJ41">
        <v>0.33200000000000002</v>
      </c>
      <c r="AK41">
        <v>-340</v>
      </c>
      <c r="AL41">
        <v>30</v>
      </c>
      <c r="AM41" t="s">
        <v>44</v>
      </c>
      <c r="AN41">
        <v>2.4</v>
      </c>
      <c r="AO41" t="s">
        <v>155</v>
      </c>
      <c r="AP41">
        <v>1</v>
      </c>
      <c r="AQ41">
        <v>415</v>
      </c>
    </row>
    <row r="42" spans="1:43" x14ac:dyDescent="0.2">
      <c r="A42" t="s">
        <v>67</v>
      </c>
      <c r="B42" t="s">
        <v>68</v>
      </c>
      <c r="C42">
        <v>210.27</v>
      </c>
      <c r="D42" t="s">
        <v>44</v>
      </c>
      <c r="G42" t="s">
        <v>44</v>
      </c>
      <c r="H42">
        <v>4</v>
      </c>
      <c r="I42" t="s">
        <v>45</v>
      </c>
      <c r="J42" t="s">
        <v>46</v>
      </c>
      <c r="K42">
        <v>265.5</v>
      </c>
      <c r="L42">
        <v>0.2</v>
      </c>
      <c r="M42" t="s">
        <v>47</v>
      </c>
      <c r="N42" t="s">
        <v>61</v>
      </c>
      <c r="O42">
        <v>0.1</v>
      </c>
      <c r="P42" t="s">
        <v>44</v>
      </c>
      <c r="Q42" t="s">
        <v>44</v>
      </c>
      <c r="R42">
        <v>4.2</v>
      </c>
      <c r="S42" s="5">
        <f t="shared" si="0"/>
        <v>25.25</v>
      </c>
      <c r="T42" t="s">
        <v>44</v>
      </c>
      <c r="U42" t="s">
        <v>44</v>
      </c>
      <c r="V42" t="s">
        <v>48</v>
      </c>
      <c r="W42" t="s">
        <v>44</v>
      </c>
      <c r="X42">
        <v>15</v>
      </c>
      <c r="Y42">
        <v>80</v>
      </c>
      <c r="Z42">
        <v>4</v>
      </c>
      <c r="AA42">
        <v>2000</v>
      </c>
      <c r="AB42" t="s">
        <v>69</v>
      </c>
      <c r="AC42" t="s">
        <v>50</v>
      </c>
      <c r="AD42">
        <v>2</v>
      </c>
      <c r="AE42">
        <v>7.1999999999999995E-2</v>
      </c>
      <c r="AF42">
        <v>0.42799999999999999</v>
      </c>
      <c r="AG42">
        <v>-1830</v>
      </c>
      <c r="AH42">
        <v>-2</v>
      </c>
      <c r="AI42">
        <v>0.23</v>
      </c>
      <c r="AJ42">
        <v>0.379</v>
      </c>
      <c r="AK42">
        <v>-1080</v>
      </c>
      <c r="AL42">
        <v>60</v>
      </c>
      <c r="AM42" t="s">
        <v>44</v>
      </c>
      <c r="AN42">
        <v>2.5</v>
      </c>
      <c r="AO42" t="s">
        <v>70</v>
      </c>
      <c r="AP42">
        <v>1</v>
      </c>
      <c r="AQ42">
        <v>14</v>
      </c>
    </row>
    <row r="43" spans="1:43" x14ac:dyDescent="0.2">
      <c r="A43" t="s">
        <v>63</v>
      </c>
      <c r="B43" t="s">
        <v>64</v>
      </c>
      <c r="C43">
        <v>228.29</v>
      </c>
      <c r="D43" t="s">
        <v>44</v>
      </c>
      <c r="G43" t="s">
        <v>44</v>
      </c>
      <c r="H43">
        <v>1</v>
      </c>
      <c r="I43" t="s">
        <v>45</v>
      </c>
      <c r="J43" t="s">
        <v>46</v>
      </c>
      <c r="K43">
        <v>265.5</v>
      </c>
      <c r="L43">
        <v>0.15</v>
      </c>
      <c r="M43" t="s">
        <v>47</v>
      </c>
      <c r="N43" t="s">
        <v>44</v>
      </c>
      <c r="O43" t="s">
        <v>44</v>
      </c>
      <c r="P43" t="s">
        <v>44</v>
      </c>
      <c r="Q43" t="s">
        <v>44</v>
      </c>
      <c r="R43">
        <v>1.1499999999999999</v>
      </c>
      <c r="S43" s="5">
        <f t="shared" si="0"/>
        <v>7.75</v>
      </c>
      <c r="T43" t="s">
        <v>44</v>
      </c>
      <c r="U43" t="s">
        <v>44</v>
      </c>
      <c r="V43" t="s">
        <v>48</v>
      </c>
      <c r="W43" t="s">
        <v>44</v>
      </c>
      <c r="X43" t="s">
        <v>44</v>
      </c>
      <c r="Y43" t="s">
        <v>44</v>
      </c>
      <c r="Z43">
        <v>4.4800000000000004</v>
      </c>
      <c r="AA43">
        <v>0.58660000000000001</v>
      </c>
      <c r="AB43" t="s">
        <v>49</v>
      </c>
      <c r="AC43" t="s">
        <v>52</v>
      </c>
      <c r="AD43">
        <v>1</v>
      </c>
      <c r="AE43">
        <v>0.10199999999999999</v>
      </c>
      <c r="AF43">
        <v>0.35799999999999998</v>
      </c>
      <c r="AG43">
        <v>-365</v>
      </c>
      <c r="AH43">
        <v>-1</v>
      </c>
      <c r="AI43">
        <v>0.18099999999999999</v>
      </c>
      <c r="AJ43">
        <v>0.33200000000000002</v>
      </c>
      <c r="AK43">
        <v>-340</v>
      </c>
      <c r="AL43">
        <v>90</v>
      </c>
      <c r="AM43" t="s">
        <v>44</v>
      </c>
      <c r="AN43">
        <v>2.5</v>
      </c>
      <c r="AO43" t="s">
        <v>65</v>
      </c>
      <c r="AP43">
        <v>1</v>
      </c>
      <c r="AQ43">
        <v>352</v>
      </c>
    </row>
    <row r="44" spans="1:43" x14ac:dyDescent="0.2">
      <c r="A44" t="s">
        <v>63</v>
      </c>
      <c r="B44" t="s">
        <v>64</v>
      </c>
      <c r="C44">
        <v>228.29</v>
      </c>
      <c r="D44" t="s">
        <v>44</v>
      </c>
      <c r="G44" t="s">
        <v>44</v>
      </c>
      <c r="H44">
        <v>1</v>
      </c>
      <c r="I44" t="s">
        <v>45</v>
      </c>
      <c r="J44" t="s">
        <v>46</v>
      </c>
      <c r="K44">
        <v>265.5</v>
      </c>
      <c r="L44">
        <v>0.15</v>
      </c>
      <c r="M44" t="s">
        <v>47</v>
      </c>
      <c r="N44" t="s">
        <v>44</v>
      </c>
      <c r="O44" t="s">
        <v>44</v>
      </c>
      <c r="P44" t="s">
        <v>44</v>
      </c>
      <c r="Q44" t="s">
        <v>44</v>
      </c>
      <c r="R44">
        <v>1.1499999999999999</v>
      </c>
      <c r="S44" s="5">
        <f t="shared" si="0"/>
        <v>7.75</v>
      </c>
      <c r="T44" t="s">
        <v>44</v>
      </c>
      <c r="U44" t="s">
        <v>44</v>
      </c>
      <c r="V44" t="s">
        <v>48</v>
      </c>
      <c r="W44" t="s">
        <v>44</v>
      </c>
      <c r="X44" t="s">
        <v>44</v>
      </c>
      <c r="Y44" t="s">
        <v>44</v>
      </c>
      <c r="Z44">
        <v>3.1</v>
      </c>
      <c r="AA44">
        <v>5.8659999999999997E-2</v>
      </c>
      <c r="AB44" t="s">
        <v>49</v>
      </c>
      <c r="AC44" t="s">
        <v>52</v>
      </c>
      <c r="AD44">
        <v>1</v>
      </c>
      <c r="AE44">
        <v>0.10199999999999999</v>
      </c>
      <c r="AF44">
        <v>0.35799999999999998</v>
      </c>
      <c r="AG44">
        <v>-365</v>
      </c>
      <c r="AH44">
        <v>-1</v>
      </c>
      <c r="AI44">
        <v>0.18099999999999999</v>
      </c>
      <c r="AJ44">
        <v>0.33200000000000002</v>
      </c>
      <c r="AK44">
        <v>-340</v>
      </c>
      <c r="AL44">
        <v>90</v>
      </c>
      <c r="AM44" t="s">
        <v>44</v>
      </c>
      <c r="AN44">
        <v>2.5</v>
      </c>
      <c r="AO44" t="s">
        <v>65</v>
      </c>
      <c r="AP44">
        <v>1</v>
      </c>
      <c r="AQ44">
        <v>353</v>
      </c>
    </row>
    <row r="45" spans="1:43" x14ac:dyDescent="0.2">
      <c r="A45" t="s">
        <v>42</v>
      </c>
      <c r="B45" t="s">
        <v>43</v>
      </c>
      <c r="C45">
        <v>86.14</v>
      </c>
      <c r="D45" t="s">
        <v>44</v>
      </c>
      <c r="G45" t="s">
        <v>44</v>
      </c>
      <c r="H45">
        <v>2</v>
      </c>
      <c r="I45" t="s">
        <v>45</v>
      </c>
      <c r="J45" t="s">
        <v>46</v>
      </c>
      <c r="K45">
        <v>265.5</v>
      </c>
      <c r="L45">
        <v>0.1</v>
      </c>
      <c r="M45" t="s">
        <v>47</v>
      </c>
      <c r="N45" t="s">
        <v>44</v>
      </c>
      <c r="O45" t="s">
        <v>44</v>
      </c>
      <c r="P45" t="s">
        <v>44</v>
      </c>
      <c r="Q45" t="s">
        <v>44</v>
      </c>
      <c r="R45">
        <v>2.1</v>
      </c>
      <c r="S45" s="5">
        <f t="shared" si="0"/>
        <v>61.64</v>
      </c>
      <c r="T45" t="s">
        <v>44</v>
      </c>
      <c r="U45" t="s">
        <v>44</v>
      </c>
      <c r="V45" t="s">
        <v>48</v>
      </c>
      <c r="W45" t="s">
        <v>44</v>
      </c>
      <c r="X45">
        <v>5</v>
      </c>
      <c r="Y45">
        <v>90</v>
      </c>
      <c r="Z45">
        <v>10.3</v>
      </c>
      <c r="AA45">
        <v>1000</v>
      </c>
      <c r="AB45" t="s">
        <v>49</v>
      </c>
      <c r="AC45" t="s">
        <v>52</v>
      </c>
      <c r="AD45">
        <v>1</v>
      </c>
      <c r="AE45">
        <v>0.10199999999999999</v>
      </c>
      <c r="AF45">
        <v>0.35799999999999998</v>
      </c>
      <c r="AG45">
        <v>-365</v>
      </c>
      <c r="AH45">
        <v>-1</v>
      </c>
      <c r="AI45">
        <v>0.18099999999999999</v>
      </c>
      <c r="AJ45">
        <v>0.33200000000000002</v>
      </c>
      <c r="AK45">
        <v>-340</v>
      </c>
      <c r="AL45">
        <v>45</v>
      </c>
      <c r="AM45" t="s">
        <v>44</v>
      </c>
      <c r="AN45">
        <v>2.5</v>
      </c>
      <c r="AO45" t="s">
        <v>101</v>
      </c>
      <c r="AP45">
        <v>1</v>
      </c>
      <c r="AQ45">
        <v>354</v>
      </c>
    </row>
    <row r="46" spans="1:43" x14ac:dyDescent="0.2">
      <c r="A46" t="s">
        <v>42</v>
      </c>
      <c r="B46" t="s">
        <v>43</v>
      </c>
      <c r="C46">
        <v>86.14</v>
      </c>
      <c r="D46" t="s">
        <v>44</v>
      </c>
      <c r="G46" t="s">
        <v>44</v>
      </c>
      <c r="H46">
        <v>0.2</v>
      </c>
      <c r="I46" t="s">
        <v>45</v>
      </c>
      <c r="J46" t="s">
        <v>46</v>
      </c>
      <c r="K46">
        <v>265.5</v>
      </c>
      <c r="L46">
        <v>0.1</v>
      </c>
      <c r="M46" t="s">
        <v>47</v>
      </c>
      <c r="N46" t="s">
        <v>44</v>
      </c>
      <c r="O46" t="s">
        <v>44</v>
      </c>
      <c r="P46" t="s">
        <v>44</v>
      </c>
      <c r="Q46" t="s">
        <v>44</v>
      </c>
      <c r="R46">
        <v>0.3</v>
      </c>
      <c r="S46" s="5">
        <f t="shared" si="0"/>
        <v>6.16</v>
      </c>
      <c r="T46" t="s">
        <v>44</v>
      </c>
      <c r="U46" t="s">
        <v>44</v>
      </c>
      <c r="V46" t="s">
        <v>48</v>
      </c>
      <c r="W46" t="s">
        <v>44</v>
      </c>
      <c r="X46">
        <v>10</v>
      </c>
      <c r="Y46">
        <v>100</v>
      </c>
      <c r="Z46">
        <v>10.3</v>
      </c>
      <c r="AA46">
        <v>1000</v>
      </c>
      <c r="AB46" t="s">
        <v>69</v>
      </c>
      <c r="AC46" t="s">
        <v>50</v>
      </c>
      <c r="AD46">
        <v>2</v>
      </c>
      <c r="AE46">
        <v>7.1999999999999995E-2</v>
      </c>
      <c r="AF46">
        <v>0.42799999999999999</v>
      </c>
      <c r="AG46">
        <v>-1830</v>
      </c>
      <c r="AH46">
        <v>-2</v>
      </c>
      <c r="AI46">
        <v>0.23</v>
      </c>
      <c r="AJ46">
        <v>0.379</v>
      </c>
      <c r="AK46">
        <v>-1080</v>
      </c>
      <c r="AL46">
        <v>45</v>
      </c>
      <c r="AM46" t="s">
        <v>44</v>
      </c>
      <c r="AN46">
        <v>2.5</v>
      </c>
      <c r="AO46" t="s">
        <v>101</v>
      </c>
      <c r="AP46">
        <v>1</v>
      </c>
      <c r="AQ46">
        <v>355</v>
      </c>
    </row>
    <row r="47" spans="1:43" x14ac:dyDescent="0.2">
      <c r="A47" t="s">
        <v>42</v>
      </c>
      <c r="B47" t="s">
        <v>43</v>
      </c>
      <c r="C47">
        <v>86.14</v>
      </c>
      <c r="D47" t="s">
        <v>135</v>
      </c>
      <c r="E47" t="s">
        <v>136</v>
      </c>
      <c r="F47">
        <v>152.15</v>
      </c>
      <c r="G47">
        <v>39</v>
      </c>
      <c r="H47">
        <v>1.95</v>
      </c>
      <c r="I47" t="s">
        <v>45</v>
      </c>
      <c r="J47" t="s">
        <v>46</v>
      </c>
      <c r="K47">
        <v>265.5</v>
      </c>
      <c r="L47">
        <v>3.06</v>
      </c>
      <c r="M47" t="s">
        <v>47</v>
      </c>
      <c r="N47" t="s">
        <v>44</v>
      </c>
      <c r="O47" t="s">
        <v>44</v>
      </c>
      <c r="P47" t="s">
        <v>44</v>
      </c>
      <c r="Q47" t="s">
        <v>44</v>
      </c>
      <c r="R47">
        <v>5.01</v>
      </c>
      <c r="S47" s="5">
        <f t="shared" si="0"/>
        <v>1.94</v>
      </c>
      <c r="T47" t="s">
        <v>44</v>
      </c>
      <c r="U47" t="s">
        <v>44</v>
      </c>
      <c r="V47" t="s">
        <v>48</v>
      </c>
      <c r="W47" t="s">
        <v>44</v>
      </c>
      <c r="X47" t="s">
        <v>44</v>
      </c>
      <c r="Y47" t="s">
        <v>44</v>
      </c>
      <c r="Z47">
        <v>4.5</v>
      </c>
      <c r="AA47">
        <v>585</v>
      </c>
      <c r="AB47" t="s">
        <v>49</v>
      </c>
      <c r="AC47" t="s">
        <v>52</v>
      </c>
      <c r="AD47">
        <v>1</v>
      </c>
      <c r="AE47">
        <v>0.10199999999999999</v>
      </c>
      <c r="AF47">
        <v>0.35799999999999998</v>
      </c>
      <c r="AG47">
        <v>-365</v>
      </c>
      <c r="AH47">
        <v>-1</v>
      </c>
      <c r="AI47">
        <v>0.18099999999999999</v>
      </c>
      <c r="AJ47">
        <v>0.33200000000000002</v>
      </c>
      <c r="AK47">
        <v>-340</v>
      </c>
      <c r="AL47">
        <v>10</v>
      </c>
      <c r="AM47" t="s">
        <v>44</v>
      </c>
      <c r="AN47">
        <v>2.5</v>
      </c>
      <c r="AO47" t="s">
        <v>137</v>
      </c>
      <c r="AP47">
        <v>1</v>
      </c>
      <c r="AQ47">
        <v>356</v>
      </c>
    </row>
    <row r="48" spans="1:43" x14ac:dyDescent="0.2">
      <c r="A48" t="s">
        <v>42</v>
      </c>
      <c r="B48" t="s">
        <v>43</v>
      </c>
      <c r="C48">
        <v>86.14</v>
      </c>
      <c r="D48" t="s">
        <v>135</v>
      </c>
      <c r="E48" t="s">
        <v>136</v>
      </c>
      <c r="F48">
        <v>152.15</v>
      </c>
      <c r="G48">
        <v>39</v>
      </c>
      <c r="H48">
        <v>1.95</v>
      </c>
      <c r="I48" t="s">
        <v>45</v>
      </c>
      <c r="J48" t="s">
        <v>46</v>
      </c>
      <c r="K48">
        <v>265.5</v>
      </c>
      <c r="L48">
        <v>0.22900000000000001</v>
      </c>
      <c r="M48" t="s">
        <v>47</v>
      </c>
      <c r="N48" t="s">
        <v>44</v>
      </c>
      <c r="O48" t="s">
        <v>44</v>
      </c>
      <c r="P48" t="s">
        <v>44</v>
      </c>
      <c r="Q48" t="s">
        <v>44</v>
      </c>
      <c r="R48">
        <v>2.1789999999999998</v>
      </c>
      <c r="S48" s="5">
        <f t="shared" si="0"/>
        <v>25.96</v>
      </c>
      <c r="T48" t="s">
        <v>44</v>
      </c>
      <c r="U48" t="s">
        <v>44</v>
      </c>
      <c r="V48" t="s">
        <v>48</v>
      </c>
      <c r="W48" t="s">
        <v>44</v>
      </c>
      <c r="X48" t="s">
        <v>44</v>
      </c>
      <c r="Y48" t="s">
        <v>44</v>
      </c>
      <c r="Z48">
        <v>4.5</v>
      </c>
      <c r="AA48">
        <v>585</v>
      </c>
      <c r="AB48" t="s">
        <v>49</v>
      </c>
      <c r="AC48" t="s">
        <v>52</v>
      </c>
      <c r="AD48">
        <v>1</v>
      </c>
      <c r="AE48">
        <v>0.10199999999999999</v>
      </c>
      <c r="AF48">
        <v>0.35799999999999998</v>
      </c>
      <c r="AG48">
        <v>-365</v>
      </c>
      <c r="AH48">
        <v>-1</v>
      </c>
      <c r="AI48">
        <v>0.18099999999999999</v>
      </c>
      <c r="AJ48">
        <v>0.33200000000000002</v>
      </c>
      <c r="AK48">
        <v>-340</v>
      </c>
      <c r="AL48">
        <v>30</v>
      </c>
      <c r="AM48" t="s">
        <v>44</v>
      </c>
      <c r="AN48">
        <v>2.5</v>
      </c>
      <c r="AO48" t="s">
        <v>137</v>
      </c>
      <c r="AP48">
        <v>1</v>
      </c>
      <c r="AQ48">
        <v>357</v>
      </c>
    </row>
    <row r="49" spans="1:43" x14ac:dyDescent="0.2">
      <c r="A49" t="s">
        <v>42</v>
      </c>
      <c r="B49" t="s">
        <v>43</v>
      </c>
      <c r="C49">
        <v>86.14</v>
      </c>
      <c r="D49" t="s">
        <v>135</v>
      </c>
      <c r="E49" t="s">
        <v>136</v>
      </c>
      <c r="F49">
        <v>152.15</v>
      </c>
      <c r="G49">
        <v>39</v>
      </c>
      <c r="H49">
        <v>1.95</v>
      </c>
      <c r="I49" t="s">
        <v>45</v>
      </c>
      <c r="J49" t="s">
        <v>46</v>
      </c>
      <c r="K49">
        <v>265.5</v>
      </c>
      <c r="L49">
        <v>0.22900000000000001</v>
      </c>
      <c r="M49" t="s">
        <v>47</v>
      </c>
      <c r="N49" t="s">
        <v>44</v>
      </c>
      <c r="O49" t="s">
        <v>44</v>
      </c>
      <c r="P49" t="s">
        <v>44</v>
      </c>
      <c r="Q49" t="s">
        <v>44</v>
      </c>
      <c r="R49">
        <v>2.1789999999999998</v>
      </c>
      <c r="S49" s="5">
        <f t="shared" si="0"/>
        <v>25.96</v>
      </c>
      <c r="T49" t="s">
        <v>44</v>
      </c>
      <c r="U49" t="s">
        <v>44</v>
      </c>
      <c r="V49" t="s">
        <v>48</v>
      </c>
      <c r="W49" t="s">
        <v>44</v>
      </c>
      <c r="X49" t="s">
        <v>44</v>
      </c>
      <c r="Y49" t="s">
        <v>44</v>
      </c>
      <c r="Z49">
        <v>4.5</v>
      </c>
      <c r="AA49">
        <v>585</v>
      </c>
      <c r="AB49" t="s">
        <v>127</v>
      </c>
      <c r="AC49" t="s">
        <v>50</v>
      </c>
      <c r="AD49">
        <v>2</v>
      </c>
      <c r="AE49">
        <v>7.2999999999999995E-2</v>
      </c>
      <c r="AF49">
        <v>0.41899999999999998</v>
      </c>
      <c r="AG49">
        <v>-2010</v>
      </c>
      <c r="AH49">
        <v>-2</v>
      </c>
      <c r="AI49">
        <v>0.23</v>
      </c>
      <c r="AJ49">
        <v>0.379</v>
      </c>
      <c r="AK49">
        <v>-1080</v>
      </c>
      <c r="AL49">
        <v>10</v>
      </c>
      <c r="AM49" t="s">
        <v>44</v>
      </c>
      <c r="AN49">
        <v>2.5</v>
      </c>
      <c r="AO49" t="s">
        <v>137</v>
      </c>
      <c r="AP49">
        <v>1</v>
      </c>
      <c r="AQ49">
        <v>358</v>
      </c>
    </row>
    <row r="50" spans="1:43" x14ac:dyDescent="0.2">
      <c r="A50" t="s">
        <v>59</v>
      </c>
      <c r="B50" t="s">
        <v>60</v>
      </c>
      <c r="C50">
        <v>43.1</v>
      </c>
      <c r="D50" t="s">
        <v>42</v>
      </c>
      <c r="E50" t="s">
        <v>43</v>
      </c>
      <c r="F50">
        <v>86.14</v>
      </c>
      <c r="G50">
        <v>1.5</v>
      </c>
      <c r="H50">
        <v>3</v>
      </c>
      <c r="I50" t="s">
        <v>45</v>
      </c>
      <c r="J50" t="s">
        <v>46</v>
      </c>
      <c r="K50">
        <v>265.5</v>
      </c>
      <c r="L50">
        <v>0.6</v>
      </c>
      <c r="M50" t="s">
        <v>47</v>
      </c>
      <c r="N50" t="s">
        <v>44</v>
      </c>
      <c r="O50" t="s">
        <v>44</v>
      </c>
      <c r="P50" t="s">
        <v>44</v>
      </c>
      <c r="Q50" t="s">
        <v>44</v>
      </c>
      <c r="R50">
        <v>3.6</v>
      </c>
      <c r="S50" s="5">
        <f t="shared" si="0"/>
        <v>24.64</v>
      </c>
      <c r="T50">
        <v>9.5</v>
      </c>
      <c r="U50" t="s">
        <v>44</v>
      </c>
      <c r="V50" t="s">
        <v>48</v>
      </c>
      <c r="W50" t="s">
        <v>44</v>
      </c>
      <c r="X50">
        <v>20</v>
      </c>
      <c r="Y50">
        <v>75</v>
      </c>
      <c r="Z50">
        <v>8</v>
      </c>
      <c r="AA50">
        <v>500</v>
      </c>
      <c r="AB50" t="s">
        <v>49</v>
      </c>
      <c r="AC50" t="s">
        <v>50</v>
      </c>
      <c r="AD50">
        <v>1</v>
      </c>
      <c r="AE50">
        <v>0.10199999999999999</v>
      </c>
      <c r="AF50">
        <v>0.35799999999999998</v>
      </c>
      <c r="AG50">
        <v>-365</v>
      </c>
      <c r="AH50">
        <v>-2</v>
      </c>
      <c r="AI50">
        <v>0.23</v>
      </c>
      <c r="AJ50">
        <v>0.379</v>
      </c>
      <c r="AK50">
        <v>-1080</v>
      </c>
      <c r="AL50">
        <v>1800</v>
      </c>
      <c r="AM50" t="s">
        <v>44</v>
      </c>
      <c r="AN50">
        <v>2.5</v>
      </c>
      <c r="AO50" t="s">
        <v>143</v>
      </c>
      <c r="AP50">
        <v>1</v>
      </c>
      <c r="AQ50">
        <v>359</v>
      </c>
    </row>
    <row r="51" spans="1:43" x14ac:dyDescent="0.2">
      <c r="A51" t="s">
        <v>144</v>
      </c>
      <c r="B51" t="s">
        <v>145</v>
      </c>
      <c r="C51">
        <v>200.32</v>
      </c>
      <c r="D51" t="s">
        <v>71</v>
      </c>
      <c r="E51" t="s">
        <v>72</v>
      </c>
      <c r="F51">
        <v>101.19</v>
      </c>
      <c r="G51" t="s">
        <v>44</v>
      </c>
      <c r="H51">
        <v>1</v>
      </c>
      <c r="I51" t="s">
        <v>45</v>
      </c>
      <c r="J51" t="s">
        <v>46</v>
      </c>
      <c r="K51">
        <v>265.5</v>
      </c>
      <c r="L51">
        <v>0.1</v>
      </c>
      <c r="M51" t="s">
        <v>98</v>
      </c>
      <c r="N51" t="s">
        <v>61</v>
      </c>
      <c r="O51">
        <v>0.1</v>
      </c>
      <c r="P51" t="s">
        <v>154</v>
      </c>
      <c r="Q51">
        <v>1</v>
      </c>
      <c r="R51">
        <v>1.1000000000000001</v>
      </c>
      <c r="S51" s="5">
        <f t="shared" si="0"/>
        <v>13.25</v>
      </c>
      <c r="T51" t="s">
        <v>44</v>
      </c>
      <c r="U51" t="s">
        <v>61</v>
      </c>
      <c r="V51" t="s">
        <v>106</v>
      </c>
      <c r="W51">
        <v>1</v>
      </c>
      <c r="X51" t="s">
        <v>44</v>
      </c>
      <c r="Y51">
        <v>25</v>
      </c>
      <c r="Z51">
        <v>3</v>
      </c>
      <c r="AA51">
        <v>1000</v>
      </c>
      <c r="AB51" t="s">
        <v>69</v>
      </c>
      <c r="AC51" t="s">
        <v>52</v>
      </c>
      <c r="AD51">
        <v>2</v>
      </c>
      <c r="AE51">
        <v>7.1999999999999995E-2</v>
      </c>
      <c r="AF51">
        <v>0.42799999999999999</v>
      </c>
      <c r="AG51">
        <v>-1830</v>
      </c>
      <c r="AH51">
        <v>-1</v>
      </c>
      <c r="AI51">
        <v>0.18099999999999999</v>
      </c>
      <c r="AJ51">
        <v>0.33200000000000002</v>
      </c>
      <c r="AK51">
        <v>-340</v>
      </c>
      <c r="AL51">
        <v>30</v>
      </c>
      <c r="AM51" t="s">
        <v>44</v>
      </c>
      <c r="AN51">
        <v>2.5</v>
      </c>
      <c r="AO51" t="s">
        <v>155</v>
      </c>
      <c r="AP51">
        <v>1</v>
      </c>
      <c r="AQ51">
        <v>406</v>
      </c>
    </row>
    <row r="52" spans="1:43" x14ac:dyDescent="0.2">
      <c r="A52" t="s">
        <v>144</v>
      </c>
      <c r="B52" t="s">
        <v>145</v>
      </c>
      <c r="C52">
        <v>200.32</v>
      </c>
      <c r="D52" t="s">
        <v>71</v>
      </c>
      <c r="E52" t="s">
        <v>72</v>
      </c>
      <c r="F52">
        <v>101.19</v>
      </c>
      <c r="G52" t="s">
        <v>44</v>
      </c>
      <c r="H52">
        <v>1</v>
      </c>
      <c r="I52" t="s">
        <v>45</v>
      </c>
      <c r="J52" t="s">
        <v>46</v>
      </c>
      <c r="K52">
        <v>265.5</v>
      </c>
      <c r="L52">
        <v>0.1</v>
      </c>
      <c r="M52" t="s">
        <v>98</v>
      </c>
      <c r="N52" t="s">
        <v>61</v>
      </c>
      <c r="O52">
        <v>0.1</v>
      </c>
      <c r="P52" t="s">
        <v>154</v>
      </c>
      <c r="Q52">
        <v>1</v>
      </c>
      <c r="R52">
        <v>1.1000000000000001</v>
      </c>
      <c r="S52" s="5">
        <f t="shared" si="0"/>
        <v>13.25</v>
      </c>
      <c r="T52" t="s">
        <v>44</v>
      </c>
      <c r="U52" t="s">
        <v>61</v>
      </c>
      <c r="V52" t="s">
        <v>106</v>
      </c>
      <c r="W52">
        <v>1</v>
      </c>
      <c r="X52" t="s">
        <v>44</v>
      </c>
      <c r="Y52">
        <v>25</v>
      </c>
      <c r="Z52">
        <v>3</v>
      </c>
      <c r="AA52">
        <v>1000</v>
      </c>
      <c r="AB52" t="s">
        <v>69</v>
      </c>
      <c r="AC52" t="s">
        <v>52</v>
      </c>
      <c r="AD52">
        <v>2</v>
      </c>
      <c r="AE52">
        <v>7.1999999999999995E-2</v>
      </c>
      <c r="AF52">
        <v>0.42799999999999999</v>
      </c>
      <c r="AG52">
        <v>-1830</v>
      </c>
      <c r="AH52">
        <v>-1</v>
      </c>
      <c r="AI52">
        <v>0.18099999999999999</v>
      </c>
      <c r="AJ52">
        <v>0.33200000000000002</v>
      </c>
      <c r="AK52">
        <v>-340</v>
      </c>
      <c r="AL52">
        <v>40</v>
      </c>
      <c r="AM52" t="s">
        <v>44</v>
      </c>
      <c r="AN52">
        <v>2.5</v>
      </c>
      <c r="AO52" t="s">
        <v>155</v>
      </c>
      <c r="AP52">
        <v>1</v>
      </c>
      <c r="AQ52">
        <v>407</v>
      </c>
    </row>
    <row r="53" spans="1:43" x14ac:dyDescent="0.2">
      <c r="A53" t="s">
        <v>42</v>
      </c>
      <c r="B53" t="s">
        <v>43</v>
      </c>
      <c r="C53">
        <v>86.14</v>
      </c>
      <c r="D53" t="s">
        <v>44</v>
      </c>
      <c r="G53" t="s">
        <v>44</v>
      </c>
      <c r="H53">
        <v>1</v>
      </c>
      <c r="I53" t="s">
        <v>45</v>
      </c>
      <c r="J53" t="s">
        <v>46</v>
      </c>
      <c r="K53">
        <v>265.5</v>
      </c>
      <c r="L53">
        <v>0.1</v>
      </c>
      <c r="M53" t="s">
        <v>47</v>
      </c>
      <c r="N53" t="s">
        <v>44</v>
      </c>
      <c r="O53" t="s">
        <v>44</v>
      </c>
      <c r="P53" t="s">
        <v>44</v>
      </c>
      <c r="Q53" t="s">
        <v>44</v>
      </c>
      <c r="R53">
        <v>1.1000000000000001</v>
      </c>
      <c r="S53" s="5">
        <f t="shared" si="0"/>
        <v>30.82</v>
      </c>
      <c r="T53" t="s">
        <v>44</v>
      </c>
      <c r="U53" t="s">
        <v>44</v>
      </c>
      <c r="V53" t="s">
        <v>48</v>
      </c>
      <c r="W53" t="s">
        <v>44</v>
      </c>
      <c r="X53">
        <v>3</v>
      </c>
      <c r="Y53">
        <v>90</v>
      </c>
      <c r="Z53">
        <v>10.3</v>
      </c>
      <c r="AA53">
        <v>1000</v>
      </c>
      <c r="AB53" t="s">
        <v>49</v>
      </c>
      <c r="AC53" t="s">
        <v>52</v>
      </c>
      <c r="AD53">
        <v>1</v>
      </c>
      <c r="AE53">
        <v>0.10199999999999999</v>
      </c>
      <c r="AF53">
        <v>0.35799999999999998</v>
      </c>
      <c r="AG53">
        <v>-365</v>
      </c>
      <c r="AH53">
        <v>-1</v>
      </c>
      <c r="AI53">
        <v>0.18099999999999999</v>
      </c>
      <c r="AJ53">
        <v>0.33200000000000002</v>
      </c>
      <c r="AK53">
        <v>-340</v>
      </c>
      <c r="AL53">
        <v>45</v>
      </c>
      <c r="AM53" t="s">
        <v>44</v>
      </c>
      <c r="AN53">
        <v>2.6</v>
      </c>
      <c r="AO53" t="s">
        <v>101</v>
      </c>
      <c r="AP53">
        <v>1</v>
      </c>
      <c r="AQ53">
        <v>348</v>
      </c>
    </row>
    <row r="54" spans="1:43" x14ac:dyDescent="0.2">
      <c r="A54" t="s">
        <v>42</v>
      </c>
      <c r="B54" t="s">
        <v>43</v>
      </c>
      <c r="C54">
        <v>86.14</v>
      </c>
      <c r="D54" t="s">
        <v>44</v>
      </c>
      <c r="G54" t="s">
        <v>44</v>
      </c>
      <c r="H54">
        <v>2</v>
      </c>
      <c r="I54" t="s">
        <v>45</v>
      </c>
      <c r="J54" t="s">
        <v>46</v>
      </c>
      <c r="K54">
        <v>265.5</v>
      </c>
      <c r="L54">
        <v>0.1</v>
      </c>
      <c r="M54" t="s">
        <v>47</v>
      </c>
      <c r="N54" t="s">
        <v>44</v>
      </c>
      <c r="O54" t="s">
        <v>44</v>
      </c>
      <c r="P54" t="s">
        <v>44</v>
      </c>
      <c r="Q54" t="s">
        <v>44</v>
      </c>
      <c r="R54">
        <v>2.1</v>
      </c>
      <c r="S54" s="5">
        <f t="shared" si="0"/>
        <v>61.64</v>
      </c>
      <c r="T54" t="s">
        <v>44</v>
      </c>
      <c r="U54" t="s">
        <v>44</v>
      </c>
      <c r="V54" t="s">
        <v>48</v>
      </c>
      <c r="W54" t="s">
        <v>44</v>
      </c>
      <c r="X54">
        <v>5</v>
      </c>
      <c r="Y54">
        <v>90</v>
      </c>
      <c r="Z54">
        <v>10.3</v>
      </c>
      <c r="AA54">
        <v>1000</v>
      </c>
      <c r="AB54" t="s">
        <v>69</v>
      </c>
      <c r="AC54" t="s">
        <v>50</v>
      </c>
      <c r="AD54">
        <v>2</v>
      </c>
      <c r="AE54">
        <v>7.1999999999999995E-2</v>
      </c>
      <c r="AF54">
        <v>0.42799999999999999</v>
      </c>
      <c r="AG54">
        <v>-1830</v>
      </c>
      <c r="AH54">
        <v>-2</v>
      </c>
      <c r="AI54">
        <v>0.23</v>
      </c>
      <c r="AJ54">
        <v>0.379</v>
      </c>
      <c r="AK54">
        <v>-1080</v>
      </c>
      <c r="AL54">
        <v>45</v>
      </c>
      <c r="AM54" t="s">
        <v>44</v>
      </c>
      <c r="AN54">
        <v>2.6</v>
      </c>
      <c r="AO54" t="s">
        <v>101</v>
      </c>
      <c r="AP54">
        <v>1</v>
      </c>
      <c r="AQ54">
        <v>349</v>
      </c>
    </row>
    <row r="55" spans="1:43" x14ac:dyDescent="0.2">
      <c r="A55" t="s">
        <v>42</v>
      </c>
      <c r="B55" t="s">
        <v>43</v>
      </c>
      <c r="C55">
        <v>86.14</v>
      </c>
      <c r="D55" t="s">
        <v>135</v>
      </c>
      <c r="E55" t="s">
        <v>136</v>
      </c>
      <c r="F55">
        <v>152.15</v>
      </c>
      <c r="G55">
        <v>39</v>
      </c>
      <c r="H55">
        <v>1.95</v>
      </c>
      <c r="I55" t="s">
        <v>45</v>
      </c>
      <c r="J55" t="s">
        <v>46</v>
      </c>
      <c r="K55">
        <v>265.5</v>
      </c>
      <c r="L55">
        <v>3.06</v>
      </c>
      <c r="M55" t="s">
        <v>47</v>
      </c>
      <c r="N55" t="s">
        <v>44</v>
      </c>
      <c r="O55" t="s">
        <v>44</v>
      </c>
      <c r="P55" t="s">
        <v>44</v>
      </c>
      <c r="Q55" t="s">
        <v>44</v>
      </c>
      <c r="R55">
        <v>5.01</v>
      </c>
      <c r="S55" s="5">
        <f t="shared" si="0"/>
        <v>1.94</v>
      </c>
      <c r="T55" t="s">
        <v>44</v>
      </c>
      <c r="U55" t="s">
        <v>44</v>
      </c>
      <c r="V55" t="s">
        <v>48</v>
      </c>
      <c r="W55" t="s">
        <v>44</v>
      </c>
      <c r="X55" t="s">
        <v>44</v>
      </c>
      <c r="Y55" t="s">
        <v>44</v>
      </c>
      <c r="Z55">
        <v>4.5</v>
      </c>
      <c r="AA55">
        <v>100</v>
      </c>
      <c r="AB55" t="s">
        <v>127</v>
      </c>
      <c r="AC55" t="s">
        <v>50</v>
      </c>
      <c r="AD55">
        <v>2</v>
      </c>
      <c r="AE55">
        <v>7.2999999999999995E-2</v>
      </c>
      <c r="AF55">
        <v>0.41899999999999998</v>
      </c>
      <c r="AG55">
        <v>-2010</v>
      </c>
      <c r="AH55">
        <v>-2</v>
      </c>
      <c r="AI55">
        <v>0.23</v>
      </c>
      <c r="AJ55">
        <v>0.379</v>
      </c>
      <c r="AK55">
        <v>-1080</v>
      </c>
      <c r="AL55">
        <v>10</v>
      </c>
      <c r="AM55" t="s">
        <v>44</v>
      </c>
      <c r="AN55">
        <v>2.6</v>
      </c>
      <c r="AO55" t="s">
        <v>137</v>
      </c>
      <c r="AP55">
        <v>1</v>
      </c>
      <c r="AQ55">
        <v>350</v>
      </c>
    </row>
    <row r="56" spans="1:43" x14ac:dyDescent="0.2">
      <c r="A56" t="s">
        <v>146</v>
      </c>
      <c r="B56" t="s">
        <v>147</v>
      </c>
      <c r="C56">
        <v>129.19900000000001</v>
      </c>
      <c r="D56" t="s">
        <v>44</v>
      </c>
      <c r="G56" t="s">
        <v>44</v>
      </c>
      <c r="H56">
        <v>1</v>
      </c>
      <c r="I56" t="s">
        <v>45</v>
      </c>
      <c r="J56" t="s">
        <v>46</v>
      </c>
      <c r="K56">
        <v>265.5</v>
      </c>
      <c r="L56">
        <v>0.13</v>
      </c>
      <c r="M56" t="s">
        <v>98</v>
      </c>
      <c r="N56" t="s">
        <v>44</v>
      </c>
      <c r="O56" t="s">
        <v>44</v>
      </c>
      <c r="P56" t="s">
        <v>44</v>
      </c>
      <c r="Q56" t="s">
        <v>44</v>
      </c>
      <c r="R56">
        <v>1.1299999999999999</v>
      </c>
      <c r="S56" s="5">
        <f t="shared" si="0"/>
        <v>15.81</v>
      </c>
      <c r="T56" t="s">
        <v>44</v>
      </c>
      <c r="U56" t="s">
        <v>44</v>
      </c>
      <c r="V56" t="s">
        <v>48</v>
      </c>
      <c r="W56" t="s">
        <v>44</v>
      </c>
      <c r="X56" t="s">
        <v>44</v>
      </c>
      <c r="Y56">
        <v>25</v>
      </c>
      <c r="Z56">
        <v>10</v>
      </c>
      <c r="AA56">
        <v>3000</v>
      </c>
      <c r="AB56" t="s">
        <v>49</v>
      </c>
      <c r="AC56" t="s">
        <v>52</v>
      </c>
      <c r="AD56">
        <v>1</v>
      </c>
      <c r="AE56">
        <v>0.10199999999999999</v>
      </c>
      <c r="AF56">
        <v>0.35799999999999998</v>
      </c>
      <c r="AG56">
        <v>-365</v>
      </c>
      <c r="AH56">
        <v>-1</v>
      </c>
      <c r="AI56">
        <v>0.18099999999999999</v>
      </c>
      <c r="AJ56">
        <v>0.33200000000000002</v>
      </c>
      <c r="AK56">
        <v>-340</v>
      </c>
      <c r="AL56">
        <v>10</v>
      </c>
      <c r="AM56" t="s">
        <v>44</v>
      </c>
      <c r="AN56">
        <v>2.6</v>
      </c>
      <c r="AO56" t="s">
        <v>99</v>
      </c>
      <c r="AP56">
        <v>1</v>
      </c>
      <c r="AQ56">
        <v>351</v>
      </c>
    </row>
    <row r="57" spans="1:43" x14ac:dyDescent="0.2">
      <c r="A57" t="s">
        <v>144</v>
      </c>
      <c r="B57" t="s">
        <v>145</v>
      </c>
      <c r="C57">
        <v>200.32</v>
      </c>
      <c r="D57" t="s">
        <v>71</v>
      </c>
      <c r="E57" t="s">
        <v>72</v>
      </c>
      <c r="F57">
        <v>101.19</v>
      </c>
      <c r="G57" t="s">
        <v>44</v>
      </c>
      <c r="H57">
        <v>1</v>
      </c>
      <c r="I57" t="s">
        <v>45</v>
      </c>
      <c r="J57" t="s">
        <v>46</v>
      </c>
      <c r="K57">
        <v>265.5</v>
      </c>
      <c r="L57">
        <v>0.1</v>
      </c>
      <c r="M57" t="s">
        <v>98</v>
      </c>
      <c r="N57" t="s">
        <v>61</v>
      </c>
      <c r="O57">
        <v>0.1</v>
      </c>
      <c r="P57" t="s">
        <v>154</v>
      </c>
      <c r="Q57">
        <v>1</v>
      </c>
      <c r="R57">
        <v>1.1000000000000001</v>
      </c>
      <c r="S57" s="5">
        <f t="shared" si="0"/>
        <v>13.25</v>
      </c>
      <c r="T57" t="s">
        <v>44</v>
      </c>
      <c r="U57" t="s">
        <v>61</v>
      </c>
      <c r="V57" t="s">
        <v>106</v>
      </c>
      <c r="W57">
        <v>1</v>
      </c>
      <c r="X57" t="s">
        <v>44</v>
      </c>
      <c r="Y57">
        <v>25</v>
      </c>
      <c r="Z57">
        <v>3</v>
      </c>
      <c r="AA57">
        <v>1000</v>
      </c>
      <c r="AB57" t="s">
        <v>150</v>
      </c>
      <c r="AC57" t="s">
        <v>52</v>
      </c>
      <c r="AD57">
        <v>1</v>
      </c>
      <c r="AE57">
        <v>6.9000000000000006E-2</v>
      </c>
      <c r="AF57">
        <v>0.38200000000000001</v>
      </c>
      <c r="AG57">
        <v>-475</v>
      </c>
      <c r="AH57">
        <v>-1</v>
      </c>
      <c r="AI57">
        <v>0.18099999999999999</v>
      </c>
      <c r="AJ57">
        <v>0.33200000000000002</v>
      </c>
      <c r="AK57">
        <v>-340</v>
      </c>
      <c r="AL57">
        <v>30</v>
      </c>
      <c r="AM57" t="s">
        <v>44</v>
      </c>
      <c r="AN57">
        <v>2.6</v>
      </c>
      <c r="AO57" t="s">
        <v>155</v>
      </c>
      <c r="AP57">
        <v>1</v>
      </c>
      <c r="AQ57">
        <v>399</v>
      </c>
    </row>
    <row r="58" spans="1:43" x14ac:dyDescent="0.2">
      <c r="A58" t="s">
        <v>144</v>
      </c>
      <c r="B58" t="s">
        <v>145</v>
      </c>
      <c r="C58">
        <v>200.32</v>
      </c>
      <c r="D58" t="s">
        <v>71</v>
      </c>
      <c r="E58" t="s">
        <v>72</v>
      </c>
      <c r="F58">
        <v>101.19</v>
      </c>
      <c r="G58" t="s">
        <v>44</v>
      </c>
      <c r="H58">
        <v>1.25</v>
      </c>
      <c r="I58" t="s">
        <v>45</v>
      </c>
      <c r="J58" t="s">
        <v>46</v>
      </c>
      <c r="K58">
        <v>265.5</v>
      </c>
      <c r="L58">
        <v>0.2</v>
      </c>
      <c r="M58" t="s">
        <v>98</v>
      </c>
      <c r="N58" t="s">
        <v>61</v>
      </c>
      <c r="O58">
        <v>0.1</v>
      </c>
      <c r="P58" t="s">
        <v>154</v>
      </c>
      <c r="Q58">
        <v>1</v>
      </c>
      <c r="R58">
        <v>1.45</v>
      </c>
      <c r="S58" s="5">
        <f t="shared" si="0"/>
        <v>8.2799999999999994</v>
      </c>
      <c r="T58" t="s">
        <v>44</v>
      </c>
      <c r="U58" t="s">
        <v>61</v>
      </c>
      <c r="V58" t="s">
        <v>106</v>
      </c>
      <c r="W58">
        <v>1</v>
      </c>
      <c r="X58" t="s">
        <v>44</v>
      </c>
      <c r="Y58">
        <v>25</v>
      </c>
      <c r="Z58">
        <v>3</v>
      </c>
      <c r="AA58">
        <v>1000</v>
      </c>
      <c r="AB58" t="s">
        <v>150</v>
      </c>
      <c r="AC58" t="s">
        <v>52</v>
      </c>
      <c r="AD58">
        <v>1</v>
      </c>
      <c r="AE58">
        <v>6.9000000000000006E-2</v>
      </c>
      <c r="AF58">
        <v>0.38200000000000001</v>
      </c>
      <c r="AG58">
        <v>-475</v>
      </c>
      <c r="AH58">
        <v>-1</v>
      </c>
      <c r="AI58">
        <v>0.18099999999999999</v>
      </c>
      <c r="AJ58">
        <v>0.33200000000000002</v>
      </c>
      <c r="AK58">
        <v>-340</v>
      </c>
      <c r="AL58">
        <v>30</v>
      </c>
      <c r="AM58" t="s">
        <v>44</v>
      </c>
      <c r="AN58">
        <v>2.6</v>
      </c>
      <c r="AO58" t="s">
        <v>155</v>
      </c>
      <c r="AP58">
        <v>1</v>
      </c>
      <c r="AQ58">
        <v>420</v>
      </c>
    </row>
    <row r="59" spans="1:43" x14ac:dyDescent="0.2">
      <c r="A59" t="s">
        <v>144</v>
      </c>
      <c r="B59" t="s">
        <v>145</v>
      </c>
      <c r="C59">
        <v>200.32</v>
      </c>
      <c r="D59" t="s">
        <v>71</v>
      </c>
      <c r="E59" t="s">
        <v>72</v>
      </c>
      <c r="F59">
        <v>101.19</v>
      </c>
      <c r="G59" t="s">
        <v>44</v>
      </c>
      <c r="H59">
        <v>1</v>
      </c>
      <c r="I59" t="s">
        <v>45</v>
      </c>
      <c r="J59" t="s">
        <v>46</v>
      </c>
      <c r="K59">
        <v>265.5</v>
      </c>
      <c r="L59">
        <v>0.2</v>
      </c>
      <c r="M59" t="s">
        <v>98</v>
      </c>
      <c r="N59" t="s">
        <v>61</v>
      </c>
      <c r="O59">
        <v>0.1</v>
      </c>
      <c r="P59" t="s">
        <v>154</v>
      </c>
      <c r="Q59">
        <v>1</v>
      </c>
      <c r="R59">
        <v>1.2</v>
      </c>
      <c r="S59" s="5">
        <f t="shared" si="0"/>
        <v>6.63</v>
      </c>
      <c r="T59" t="s">
        <v>44</v>
      </c>
      <c r="U59" t="s">
        <v>61</v>
      </c>
      <c r="V59" t="s">
        <v>106</v>
      </c>
      <c r="W59">
        <v>1</v>
      </c>
      <c r="X59" t="s">
        <v>44</v>
      </c>
      <c r="Y59">
        <v>25</v>
      </c>
      <c r="Z59">
        <v>3</v>
      </c>
      <c r="AA59">
        <v>1000</v>
      </c>
      <c r="AB59" t="s">
        <v>69</v>
      </c>
      <c r="AC59" t="s">
        <v>52</v>
      </c>
      <c r="AD59">
        <v>2</v>
      </c>
      <c r="AE59">
        <v>7.1999999999999995E-2</v>
      </c>
      <c r="AF59">
        <v>0.42799999999999999</v>
      </c>
      <c r="AG59">
        <v>-1830</v>
      </c>
      <c r="AH59">
        <v>-1</v>
      </c>
      <c r="AI59">
        <v>0.18099999999999999</v>
      </c>
      <c r="AJ59">
        <v>0.33200000000000002</v>
      </c>
      <c r="AK59">
        <v>-340</v>
      </c>
      <c r="AL59">
        <v>30</v>
      </c>
      <c r="AM59" t="s">
        <v>44</v>
      </c>
      <c r="AN59">
        <v>2.6</v>
      </c>
      <c r="AO59" t="s">
        <v>155</v>
      </c>
      <c r="AP59">
        <v>1</v>
      </c>
      <c r="AQ59">
        <v>423</v>
      </c>
    </row>
    <row r="60" spans="1:43" x14ac:dyDescent="0.2">
      <c r="A60" t="s">
        <v>42</v>
      </c>
      <c r="B60" t="s">
        <v>43</v>
      </c>
      <c r="C60">
        <v>86.14</v>
      </c>
      <c r="D60" t="s">
        <v>44</v>
      </c>
      <c r="G60" t="s">
        <v>44</v>
      </c>
      <c r="H60">
        <v>1</v>
      </c>
      <c r="I60" t="s">
        <v>45</v>
      </c>
      <c r="J60" t="s">
        <v>46</v>
      </c>
      <c r="K60">
        <v>265.5</v>
      </c>
      <c r="L60">
        <v>0.1</v>
      </c>
      <c r="M60" t="s">
        <v>47</v>
      </c>
      <c r="N60" t="s">
        <v>44</v>
      </c>
      <c r="O60" t="s">
        <v>44</v>
      </c>
      <c r="P60" t="s">
        <v>44</v>
      </c>
      <c r="Q60" t="s">
        <v>44</v>
      </c>
      <c r="R60">
        <v>1.1000000000000001</v>
      </c>
      <c r="S60" s="5">
        <f t="shared" si="0"/>
        <v>30.82</v>
      </c>
      <c r="T60" t="s">
        <v>44</v>
      </c>
      <c r="U60" t="s">
        <v>44</v>
      </c>
      <c r="V60" t="s">
        <v>48</v>
      </c>
      <c r="W60" t="s">
        <v>44</v>
      </c>
      <c r="X60">
        <v>3</v>
      </c>
      <c r="Y60">
        <v>90</v>
      </c>
      <c r="Z60">
        <v>10.3</v>
      </c>
      <c r="AA60">
        <v>1000</v>
      </c>
      <c r="AB60" t="s">
        <v>69</v>
      </c>
      <c r="AC60" t="s">
        <v>50</v>
      </c>
      <c r="AD60">
        <v>2</v>
      </c>
      <c r="AE60">
        <v>7.1999999999999995E-2</v>
      </c>
      <c r="AF60">
        <v>0.42799999999999999</v>
      </c>
      <c r="AG60">
        <v>-1830</v>
      </c>
      <c r="AH60">
        <v>-2</v>
      </c>
      <c r="AI60">
        <v>0.23</v>
      </c>
      <c r="AJ60">
        <v>0.379</v>
      </c>
      <c r="AK60">
        <v>-1080</v>
      </c>
      <c r="AL60">
        <v>45</v>
      </c>
      <c r="AM60" t="s">
        <v>44</v>
      </c>
      <c r="AN60">
        <v>2.7</v>
      </c>
      <c r="AO60" t="s">
        <v>101</v>
      </c>
      <c r="AP60">
        <v>1</v>
      </c>
      <c r="AQ60">
        <v>345</v>
      </c>
    </row>
    <row r="61" spans="1:43" x14ac:dyDescent="0.2">
      <c r="A61" t="s">
        <v>42</v>
      </c>
      <c r="B61" t="s">
        <v>43</v>
      </c>
      <c r="C61">
        <v>86.14</v>
      </c>
      <c r="D61" t="s">
        <v>135</v>
      </c>
      <c r="E61" t="s">
        <v>136</v>
      </c>
      <c r="F61">
        <v>152.15</v>
      </c>
      <c r="G61">
        <v>39</v>
      </c>
      <c r="H61">
        <v>1.95</v>
      </c>
      <c r="I61" t="s">
        <v>45</v>
      </c>
      <c r="J61" t="s">
        <v>46</v>
      </c>
      <c r="K61">
        <v>265.5</v>
      </c>
      <c r="L61">
        <v>0.22900000000000001</v>
      </c>
      <c r="M61" t="s">
        <v>47</v>
      </c>
      <c r="N61" t="s">
        <v>44</v>
      </c>
      <c r="O61" t="s">
        <v>44</v>
      </c>
      <c r="P61" t="s">
        <v>44</v>
      </c>
      <c r="Q61" t="s">
        <v>44</v>
      </c>
      <c r="R61">
        <v>2.1789999999999998</v>
      </c>
      <c r="S61" s="5">
        <f t="shared" si="0"/>
        <v>25.96</v>
      </c>
      <c r="T61" t="s">
        <v>44</v>
      </c>
      <c r="U61" t="s">
        <v>44</v>
      </c>
      <c r="V61" t="s">
        <v>48</v>
      </c>
      <c r="W61" t="s">
        <v>44</v>
      </c>
      <c r="X61" t="s">
        <v>44</v>
      </c>
      <c r="Y61" t="s">
        <v>44</v>
      </c>
      <c r="Z61">
        <v>4.5</v>
      </c>
      <c r="AA61">
        <v>585</v>
      </c>
      <c r="AB61" t="s">
        <v>49</v>
      </c>
      <c r="AC61" t="s">
        <v>52</v>
      </c>
      <c r="AD61">
        <v>1</v>
      </c>
      <c r="AE61">
        <v>0.10199999999999999</v>
      </c>
      <c r="AF61">
        <v>0.35799999999999998</v>
      </c>
      <c r="AG61">
        <v>-365</v>
      </c>
      <c r="AH61">
        <v>-1</v>
      </c>
      <c r="AI61">
        <v>0.18099999999999999</v>
      </c>
      <c r="AJ61">
        <v>0.33200000000000002</v>
      </c>
      <c r="AK61">
        <v>-340</v>
      </c>
      <c r="AL61">
        <v>10</v>
      </c>
      <c r="AM61" t="s">
        <v>44</v>
      </c>
      <c r="AN61">
        <v>2.7</v>
      </c>
      <c r="AO61" t="s">
        <v>137</v>
      </c>
      <c r="AP61">
        <v>1</v>
      </c>
      <c r="AQ61">
        <v>346</v>
      </c>
    </row>
    <row r="62" spans="1:43" x14ac:dyDescent="0.2">
      <c r="A62" t="s">
        <v>42</v>
      </c>
      <c r="B62" t="s">
        <v>43</v>
      </c>
      <c r="C62">
        <v>86.14</v>
      </c>
      <c r="D62" t="s">
        <v>71</v>
      </c>
      <c r="E62" t="s">
        <v>72</v>
      </c>
      <c r="F62">
        <v>101.19</v>
      </c>
      <c r="G62">
        <v>1</v>
      </c>
      <c r="H62">
        <v>3.0539999999999998</v>
      </c>
      <c r="I62" t="s">
        <v>45</v>
      </c>
      <c r="J62" t="s">
        <v>46</v>
      </c>
      <c r="K62">
        <v>265.5</v>
      </c>
      <c r="L62">
        <v>0.1</v>
      </c>
      <c r="M62" t="s">
        <v>47</v>
      </c>
      <c r="N62" t="s">
        <v>149</v>
      </c>
      <c r="O62">
        <v>1</v>
      </c>
      <c r="P62" t="s">
        <v>44</v>
      </c>
      <c r="Q62" t="s">
        <v>44</v>
      </c>
      <c r="R62">
        <v>3.1539999999999999</v>
      </c>
      <c r="S62" s="5">
        <f t="shared" si="0"/>
        <v>87.13</v>
      </c>
      <c r="T62" t="s">
        <v>44</v>
      </c>
      <c r="U62" t="s">
        <v>44</v>
      </c>
      <c r="V62" t="s">
        <v>48</v>
      </c>
      <c r="W62" t="s">
        <v>44</v>
      </c>
      <c r="X62">
        <v>10</v>
      </c>
      <c r="Y62" t="s">
        <v>44</v>
      </c>
      <c r="Z62">
        <v>4.8</v>
      </c>
      <c r="AA62">
        <v>2000</v>
      </c>
      <c r="AB62" t="s">
        <v>69</v>
      </c>
      <c r="AC62" t="s">
        <v>50</v>
      </c>
      <c r="AD62">
        <v>2</v>
      </c>
      <c r="AE62">
        <v>7.1999999999999995E-2</v>
      </c>
      <c r="AF62">
        <v>0.42799999999999999</v>
      </c>
      <c r="AG62">
        <v>-1830</v>
      </c>
      <c r="AH62">
        <v>-2</v>
      </c>
      <c r="AI62">
        <v>0.23</v>
      </c>
      <c r="AJ62">
        <v>0.379</v>
      </c>
      <c r="AK62">
        <v>-1080</v>
      </c>
      <c r="AL62">
        <v>60</v>
      </c>
      <c r="AM62" t="s">
        <v>44</v>
      </c>
      <c r="AN62">
        <v>2.7</v>
      </c>
      <c r="AO62" t="s">
        <v>73</v>
      </c>
      <c r="AP62">
        <v>1</v>
      </c>
      <c r="AQ62">
        <v>347</v>
      </c>
    </row>
    <row r="63" spans="1:43" x14ac:dyDescent="0.2">
      <c r="A63" t="s">
        <v>144</v>
      </c>
      <c r="B63" t="s">
        <v>145</v>
      </c>
      <c r="C63">
        <v>200.32</v>
      </c>
      <c r="D63" t="s">
        <v>71</v>
      </c>
      <c r="E63" t="s">
        <v>72</v>
      </c>
      <c r="F63">
        <v>101.19</v>
      </c>
      <c r="G63" t="s">
        <v>44</v>
      </c>
      <c r="H63">
        <v>1</v>
      </c>
      <c r="I63" t="s">
        <v>45</v>
      </c>
      <c r="J63" t="s">
        <v>46</v>
      </c>
      <c r="K63">
        <v>265.5</v>
      </c>
      <c r="L63">
        <v>0.1</v>
      </c>
      <c r="M63" t="s">
        <v>98</v>
      </c>
      <c r="N63" t="s">
        <v>61</v>
      </c>
      <c r="O63">
        <v>0.1</v>
      </c>
      <c r="P63" t="s">
        <v>154</v>
      </c>
      <c r="Q63">
        <v>1</v>
      </c>
      <c r="R63">
        <v>1.1000000000000001</v>
      </c>
      <c r="S63" s="5">
        <f t="shared" si="0"/>
        <v>13.25</v>
      </c>
      <c r="T63" t="s">
        <v>44</v>
      </c>
      <c r="U63" t="s">
        <v>61</v>
      </c>
      <c r="V63" t="s">
        <v>106</v>
      </c>
      <c r="W63">
        <v>1</v>
      </c>
      <c r="X63" t="s">
        <v>44</v>
      </c>
      <c r="Y63">
        <v>25</v>
      </c>
      <c r="Z63">
        <v>3</v>
      </c>
      <c r="AA63">
        <v>1000</v>
      </c>
      <c r="AB63" t="s">
        <v>150</v>
      </c>
      <c r="AC63" t="s">
        <v>52</v>
      </c>
      <c r="AD63">
        <v>1</v>
      </c>
      <c r="AE63">
        <v>6.9000000000000006E-2</v>
      </c>
      <c r="AF63">
        <v>0.38200000000000001</v>
      </c>
      <c r="AG63">
        <v>-475</v>
      </c>
      <c r="AH63">
        <v>-1</v>
      </c>
      <c r="AI63">
        <v>0.18099999999999999</v>
      </c>
      <c r="AJ63">
        <v>0.33200000000000002</v>
      </c>
      <c r="AK63">
        <v>-340</v>
      </c>
      <c r="AL63">
        <v>40</v>
      </c>
      <c r="AM63" t="s">
        <v>44</v>
      </c>
      <c r="AN63">
        <v>2.7</v>
      </c>
      <c r="AO63" t="s">
        <v>155</v>
      </c>
      <c r="AP63">
        <v>1</v>
      </c>
      <c r="AQ63">
        <v>400</v>
      </c>
    </row>
    <row r="64" spans="1:43" x14ac:dyDescent="0.2">
      <c r="A64" t="s">
        <v>144</v>
      </c>
      <c r="B64" t="s">
        <v>145</v>
      </c>
      <c r="C64">
        <v>200.32</v>
      </c>
      <c r="D64" t="s">
        <v>71</v>
      </c>
      <c r="E64" t="s">
        <v>72</v>
      </c>
      <c r="F64">
        <v>101.19</v>
      </c>
      <c r="G64" t="s">
        <v>44</v>
      </c>
      <c r="H64">
        <v>1</v>
      </c>
      <c r="I64" t="s">
        <v>45</v>
      </c>
      <c r="J64" t="s">
        <v>46</v>
      </c>
      <c r="K64">
        <v>265.5</v>
      </c>
      <c r="L64">
        <v>0.1</v>
      </c>
      <c r="M64" t="s">
        <v>98</v>
      </c>
      <c r="N64" t="s">
        <v>61</v>
      </c>
      <c r="O64">
        <v>0.1</v>
      </c>
      <c r="P64" t="s">
        <v>154</v>
      </c>
      <c r="Q64">
        <v>1</v>
      </c>
      <c r="R64">
        <v>1.1000000000000001</v>
      </c>
      <c r="S64" s="5">
        <f t="shared" si="0"/>
        <v>13.25</v>
      </c>
      <c r="T64" t="s">
        <v>44</v>
      </c>
      <c r="U64" t="s">
        <v>61</v>
      </c>
      <c r="V64" t="s">
        <v>106</v>
      </c>
      <c r="W64">
        <v>1</v>
      </c>
      <c r="X64" t="s">
        <v>44</v>
      </c>
      <c r="Y64">
        <v>25</v>
      </c>
      <c r="Z64">
        <v>3</v>
      </c>
      <c r="AA64">
        <v>1000</v>
      </c>
      <c r="AB64" t="s">
        <v>150</v>
      </c>
      <c r="AC64" t="s">
        <v>52</v>
      </c>
      <c r="AD64">
        <v>1</v>
      </c>
      <c r="AE64">
        <v>6.9000000000000006E-2</v>
      </c>
      <c r="AF64">
        <v>0.38200000000000001</v>
      </c>
      <c r="AG64">
        <v>-475</v>
      </c>
      <c r="AH64">
        <v>-1</v>
      </c>
      <c r="AI64">
        <v>0.18099999999999999</v>
      </c>
      <c r="AJ64">
        <v>0.33200000000000002</v>
      </c>
      <c r="AK64">
        <v>-340</v>
      </c>
      <c r="AL64">
        <v>50</v>
      </c>
      <c r="AM64" t="s">
        <v>44</v>
      </c>
      <c r="AN64">
        <v>2.7</v>
      </c>
      <c r="AO64" t="s">
        <v>155</v>
      </c>
      <c r="AP64">
        <v>1</v>
      </c>
      <c r="AQ64">
        <v>401</v>
      </c>
    </row>
    <row r="65" spans="1:43" x14ac:dyDescent="0.2">
      <c r="A65" t="s">
        <v>144</v>
      </c>
      <c r="B65" t="s">
        <v>145</v>
      </c>
      <c r="C65">
        <v>200.32</v>
      </c>
      <c r="D65" t="s">
        <v>71</v>
      </c>
      <c r="E65" t="s">
        <v>72</v>
      </c>
      <c r="F65">
        <v>101.19</v>
      </c>
      <c r="G65" t="s">
        <v>44</v>
      </c>
      <c r="H65">
        <v>0.5</v>
      </c>
      <c r="I65" t="s">
        <v>45</v>
      </c>
      <c r="J65" t="s">
        <v>46</v>
      </c>
      <c r="K65">
        <v>265.5</v>
      </c>
      <c r="L65">
        <v>0.1</v>
      </c>
      <c r="M65" t="s">
        <v>98</v>
      </c>
      <c r="N65" t="s">
        <v>61</v>
      </c>
      <c r="O65">
        <v>0.1</v>
      </c>
      <c r="P65" t="s">
        <v>154</v>
      </c>
      <c r="Q65">
        <v>1</v>
      </c>
      <c r="R65">
        <v>0.6</v>
      </c>
      <c r="S65" s="5">
        <f t="shared" ref="S65:S128" si="1">ROUND(IF(G65="-", (H65/C65)/(L65/K65), ((G65*H65/C65) + (H65/F65)) / (1+G65) / (L65/K65)),2)</f>
        <v>6.63</v>
      </c>
      <c r="T65" t="s">
        <v>44</v>
      </c>
      <c r="U65" t="s">
        <v>61</v>
      </c>
      <c r="V65" t="s">
        <v>106</v>
      </c>
      <c r="W65">
        <v>1</v>
      </c>
      <c r="X65" t="s">
        <v>44</v>
      </c>
      <c r="Y65">
        <v>25</v>
      </c>
      <c r="Z65">
        <v>3</v>
      </c>
      <c r="AA65">
        <v>1000</v>
      </c>
      <c r="AB65" t="s">
        <v>150</v>
      </c>
      <c r="AC65" t="s">
        <v>52</v>
      </c>
      <c r="AD65">
        <v>1</v>
      </c>
      <c r="AE65">
        <v>6.9000000000000006E-2</v>
      </c>
      <c r="AF65">
        <v>0.38200000000000001</v>
      </c>
      <c r="AG65">
        <v>-475</v>
      </c>
      <c r="AH65">
        <v>-1</v>
      </c>
      <c r="AI65">
        <v>0.18099999999999999</v>
      </c>
      <c r="AJ65">
        <v>0.33200000000000002</v>
      </c>
      <c r="AK65">
        <v>-340</v>
      </c>
      <c r="AL65">
        <v>30</v>
      </c>
      <c r="AM65" t="s">
        <v>44</v>
      </c>
      <c r="AN65">
        <v>2.7</v>
      </c>
      <c r="AO65" t="s">
        <v>155</v>
      </c>
      <c r="AP65">
        <v>1</v>
      </c>
      <c r="AQ65">
        <v>409</v>
      </c>
    </row>
    <row r="66" spans="1:43" x14ac:dyDescent="0.2">
      <c r="A66" t="s">
        <v>54</v>
      </c>
      <c r="B66" t="s">
        <v>55</v>
      </c>
      <c r="C66">
        <v>108.14</v>
      </c>
      <c r="D66" t="s">
        <v>44</v>
      </c>
      <c r="G66" t="s">
        <v>44</v>
      </c>
      <c r="H66">
        <v>0.1</v>
      </c>
      <c r="I66" t="s">
        <v>56</v>
      </c>
      <c r="J66" t="s">
        <v>57</v>
      </c>
      <c r="K66">
        <v>203.02</v>
      </c>
      <c r="L66">
        <v>0.1</v>
      </c>
      <c r="M66" t="s">
        <v>47</v>
      </c>
      <c r="N66" t="s">
        <v>44</v>
      </c>
      <c r="O66" t="s">
        <v>44</v>
      </c>
      <c r="P66" t="s">
        <v>44</v>
      </c>
      <c r="Q66" t="s">
        <v>44</v>
      </c>
      <c r="R66">
        <v>0.2</v>
      </c>
      <c r="S66" s="5">
        <f t="shared" si="1"/>
        <v>1.88</v>
      </c>
      <c r="T66" t="s">
        <v>44</v>
      </c>
      <c r="U66" t="s">
        <v>44</v>
      </c>
      <c r="V66" t="s">
        <v>48</v>
      </c>
      <c r="W66" t="s">
        <v>44</v>
      </c>
      <c r="X66">
        <v>5</v>
      </c>
      <c r="Y66">
        <v>80</v>
      </c>
      <c r="Z66">
        <v>10.3</v>
      </c>
      <c r="AA66">
        <v>2000</v>
      </c>
      <c r="AB66" t="s">
        <v>49</v>
      </c>
      <c r="AC66" t="s">
        <v>52</v>
      </c>
      <c r="AD66">
        <v>1</v>
      </c>
      <c r="AE66">
        <v>0.10199999999999999</v>
      </c>
      <c r="AF66">
        <v>0.35799999999999998</v>
      </c>
      <c r="AG66">
        <v>-365</v>
      </c>
      <c r="AH66">
        <v>-1</v>
      </c>
      <c r="AI66">
        <v>0.18099999999999999</v>
      </c>
      <c r="AJ66">
        <v>0.33200000000000002</v>
      </c>
      <c r="AK66">
        <v>-340</v>
      </c>
      <c r="AL66">
        <v>90</v>
      </c>
      <c r="AM66" t="s">
        <v>44</v>
      </c>
      <c r="AN66">
        <v>2.8</v>
      </c>
      <c r="AO66" t="s">
        <v>58</v>
      </c>
      <c r="AP66">
        <v>1</v>
      </c>
      <c r="AQ66">
        <v>4</v>
      </c>
    </row>
    <row r="67" spans="1:43" x14ac:dyDescent="0.2">
      <c r="A67" t="s">
        <v>144</v>
      </c>
      <c r="B67" t="s">
        <v>145</v>
      </c>
      <c r="C67">
        <v>200.32</v>
      </c>
      <c r="D67" t="s">
        <v>44</v>
      </c>
      <c r="G67" t="s">
        <v>44</v>
      </c>
      <c r="H67">
        <v>1</v>
      </c>
      <c r="I67" t="s">
        <v>45</v>
      </c>
      <c r="J67" t="s">
        <v>46</v>
      </c>
      <c r="K67">
        <v>265.5</v>
      </c>
      <c r="L67">
        <v>0.13</v>
      </c>
      <c r="M67" t="s">
        <v>98</v>
      </c>
      <c r="N67" t="s">
        <v>44</v>
      </c>
      <c r="O67" t="s">
        <v>44</v>
      </c>
      <c r="P67" t="s">
        <v>44</v>
      </c>
      <c r="Q67" t="s">
        <v>44</v>
      </c>
      <c r="R67">
        <v>1.1299999999999999</v>
      </c>
      <c r="S67" s="5">
        <f t="shared" si="1"/>
        <v>10.199999999999999</v>
      </c>
      <c r="T67" t="s">
        <v>44</v>
      </c>
      <c r="U67" t="s">
        <v>44</v>
      </c>
      <c r="V67" t="s">
        <v>48</v>
      </c>
      <c r="W67" t="s">
        <v>44</v>
      </c>
      <c r="X67" t="s">
        <v>44</v>
      </c>
      <c r="Y67">
        <v>25</v>
      </c>
      <c r="Z67">
        <v>10</v>
      </c>
      <c r="AA67">
        <v>3000</v>
      </c>
      <c r="AB67" t="s">
        <v>49</v>
      </c>
      <c r="AC67" t="s">
        <v>52</v>
      </c>
      <c r="AD67">
        <v>1</v>
      </c>
      <c r="AE67">
        <v>0.10199999999999999</v>
      </c>
      <c r="AF67">
        <v>0.35799999999999998</v>
      </c>
      <c r="AG67">
        <v>-365</v>
      </c>
      <c r="AH67">
        <v>-1</v>
      </c>
      <c r="AI67">
        <v>0.18099999999999999</v>
      </c>
      <c r="AJ67">
        <v>0.33200000000000002</v>
      </c>
      <c r="AK67">
        <v>-340</v>
      </c>
      <c r="AL67">
        <v>10</v>
      </c>
      <c r="AM67" t="s">
        <v>44</v>
      </c>
      <c r="AN67">
        <v>2.8</v>
      </c>
      <c r="AO67" t="s">
        <v>99</v>
      </c>
      <c r="AP67">
        <v>1</v>
      </c>
      <c r="AQ67">
        <v>343</v>
      </c>
    </row>
    <row r="68" spans="1:43" x14ac:dyDescent="0.2">
      <c r="A68" t="s">
        <v>42</v>
      </c>
      <c r="B68" t="s">
        <v>43</v>
      </c>
      <c r="C68">
        <v>86.14</v>
      </c>
      <c r="D68" t="s">
        <v>44</v>
      </c>
      <c r="G68" t="s">
        <v>44</v>
      </c>
      <c r="H68">
        <v>0.35</v>
      </c>
      <c r="I68" t="s">
        <v>45</v>
      </c>
      <c r="J68" t="s">
        <v>46</v>
      </c>
      <c r="K68">
        <v>265.5</v>
      </c>
      <c r="L68">
        <v>0.15</v>
      </c>
      <c r="M68" t="s">
        <v>47</v>
      </c>
      <c r="N68" t="s">
        <v>44</v>
      </c>
      <c r="O68" t="s">
        <v>44</v>
      </c>
      <c r="P68" t="s">
        <v>44</v>
      </c>
      <c r="Q68" t="s">
        <v>44</v>
      </c>
      <c r="R68">
        <v>0.5</v>
      </c>
      <c r="S68" s="5">
        <f t="shared" si="1"/>
        <v>7.19</v>
      </c>
      <c r="T68" t="s">
        <v>44</v>
      </c>
      <c r="U68" t="s">
        <v>44</v>
      </c>
      <c r="V68" t="s">
        <v>48</v>
      </c>
      <c r="W68" t="s">
        <v>44</v>
      </c>
      <c r="X68">
        <v>20</v>
      </c>
      <c r="Y68">
        <v>50</v>
      </c>
      <c r="Z68">
        <v>6</v>
      </c>
      <c r="AA68">
        <v>3000</v>
      </c>
      <c r="AB68" t="s">
        <v>69</v>
      </c>
      <c r="AC68" t="s">
        <v>50</v>
      </c>
      <c r="AD68">
        <v>2</v>
      </c>
      <c r="AE68">
        <v>7.1999999999999995E-2</v>
      </c>
      <c r="AF68">
        <v>0.42799999999999999</v>
      </c>
      <c r="AG68">
        <v>-1830</v>
      </c>
      <c r="AH68">
        <v>-2</v>
      </c>
      <c r="AI68">
        <v>0.23</v>
      </c>
      <c r="AJ68">
        <v>0.379</v>
      </c>
      <c r="AK68">
        <v>-1080</v>
      </c>
      <c r="AL68">
        <v>120</v>
      </c>
      <c r="AM68" t="s">
        <v>44</v>
      </c>
      <c r="AN68">
        <v>2.8</v>
      </c>
      <c r="AO68" t="s">
        <v>114</v>
      </c>
      <c r="AP68">
        <v>1</v>
      </c>
      <c r="AQ68">
        <v>344</v>
      </c>
    </row>
    <row r="69" spans="1:43" x14ac:dyDescent="0.2">
      <c r="A69" t="s">
        <v>144</v>
      </c>
      <c r="B69" t="s">
        <v>145</v>
      </c>
      <c r="C69">
        <v>200.32</v>
      </c>
      <c r="D69" t="s">
        <v>71</v>
      </c>
      <c r="E69" t="s">
        <v>72</v>
      </c>
      <c r="F69">
        <v>101.19</v>
      </c>
      <c r="G69" t="s">
        <v>44</v>
      </c>
      <c r="H69">
        <v>1</v>
      </c>
      <c r="I69" t="s">
        <v>45</v>
      </c>
      <c r="J69" t="s">
        <v>46</v>
      </c>
      <c r="K69">
        <v>265.5</v>
      </c>
      <c r="L69">
        <v>0.1</v>
      </c>
      <c r="M69" t="s">
        <v>98</v>
      </c>
      <c r="N69" t="s">
        <v>61</v>
      </c>
      <c r="O69">
        <v>0.1</v>
      </c>
      <c r="P69" t="s">
        <v>154</v>
      </c>
      <c r="Q69">
        <v>1</v>
      </c>
      <c r="R69">
        <v>1.1000000000000001</v>
      </c>
      <c r="S69" s="5">
        <f t="shared" si="1"/>
        <v>13.25</v>
      </c>
      <c r="T69" t="s">
        <v>44</v>
      </c>
      <c r="U69" t="s">
        <v>61</v>
      </c>
      <c r="V69" t="s">
        <v>106</v>
      </c>
      <c r="W69">
        <v>1</v>
      </c>
      <c r="X69" t="s">
        <v>44</v>
      </c>
      <c r="Y69">
        <v>25</v>
      </c>
      <c r="Z69">
        <v>3</v>
      </c>
      <c r="AA69">
        <v>1000</v>
      </c>
      <c r="AB69" t="s">
        <v>150</v>
      </c>
      <c r="AC69" t="s">
        <v>52</v>
      </c>
      <c r="AD69">
        <v>1</v>
      </c>
      <c r="AE69">
        <v>6.9000000000000006E-2</v>
      </c>
      <c r="AF69">
        <v>0.38200000000000001</v>
      </c>
      <c r="AG69">
        <v>-475</v>
      </c>
      <c r="AH69">
        <v>-1</v>
      </c>
      <c r="AI69">
        <v>0.18099999999999999</v>
      </c>
      <c r="AJ69">
        <v>0.33200000000000002</v>
      </c>
      <c r="AK69">
        <v>-340</v>
      </c>
      <c r="AL69">
        <v>60</v>
      </c>
      <c r="AM69" t="s">
        <v>44</v>
      </c>
      <c r="AN69">
        <v>2.8</v>
      </c>
      <c r="AO69" t="s">
        <v>155</v>
      </c>
      <c r="AP69">
        <v>1</v>
      </c>
      <c r="AQ69">
        <v>402</v>
      </c>
    </row>
    <row r="70" spans="1:43" x14ac:dyDescent="0.2">
      <c r="A70" t="s">
        <v>144</v>
      </c>
      <c r="B70" t="s">
        <v>145</v>
      </c>
      <c r="C70">
        <v>200.32</v>
      </c>
      <c r="D70" t="s">
        <v>71</v>
      </c>
      <c r="E70" t="s">
        <v>72</v>
      </c>
      <c r="F70">
        <v>101.19</v>
      </c>
      <c r="G70" t="s">
        <v>44</v>
      </c>
      <c r="H70">
        <v>1</v>
      </c>
      <c r="I70" t="s">
        <v>45</v>
      </c>
      <c r="J70" t="s">
        <v>46</v>
      </c>
      <c r="K70">
        <v>265.5</v>
      </c>
      <c r="L70">
        <v>0.1</v>
      </c>
      <c r="M70" t="s">
        <v>98</v>
      </c>
      <c r="N70" t="s">
        <v>61</v>
      </c>
      <c r="O70">
        <v>0.1</v>
      </c>
      <c r="P70" t="s">
        <v>154</v>
      </c>
      <c r="Q70">
        <v>1</v>
      </c>
      <c r="R70">
        <v>1.1000000000000001</v>
      </c>
      <c r="S70" s="5">
        <f t="shared" si="1"/>
        <v>13.25</v>
      </c>
      <c r="T70" t="s">
        <v>44</v>
      </c>
      <c r="U70" t="s">
        <v>61</v>
      </c>
      <c r="V70" t="s">
        <v>106</v>
      </c>
      <c r="W70">
        <v>1</v>
      </c>
      <c r="X70" t="s">
        <v>44</v>
      </c>
      <c r="Y70">
        <v>25</v>
      </c>
      <c r="Z70">
        <v>3</v>
      </c>
      <c r="AA70">
        <v>1000</v>
      </c>
      <c r="AB70" t="s">
        <v>69</v>
      </c>
      <c r="AC70" t="s">
        <v>52</v>
      </c>
      <c r="AD70">
        <v>2</v>
      </c>
      <c r="AE70">
        <v>7.1999999999999995E-2</v>
      </c>
      <c r="AF70">
        <v>0.42799999999999999</v>
      </c>
      <c r="AG70">
        <v>-1830</v>
      </c>
      <c r="AH70">
        <v>-1</v>
      </c>
      <c r="AI70">
        <v>0.18099999999999999</v>
      </c>
      <c r="AJ70">
        <v>0.33200000000000002</v>
      </c>
      <c r="AK70">
        <v>-340</v>
      </c>
      <c r="AL70">
        <v>20</v>
      </c>
      <c r="AM70" t="s">
        <v>44</v>
      </c>
      <c r="AN70">
        <v>2.8</v>
      </c>
      <c r="AO70" t="s">
        <v>155</v>
      </c>
      <c r="AP70">
        <v>1</v>
      </c>
      <c r="AQ70">
        <v>405</v>
      </c>
    </row>
    <row r="71" spans="1:43" x14ac:dyDescent="0.2">
      <c r="A71" t="s">
        <v>144</v>
      </c>
      <c r="B71" t="s">
        <v>145</v>
      </c>
      <c r="C71">
        <v>200.32</v>
      </c>
      <c r="D71" t="s">
        <v>71</v>
      </c>
      <c r="E71" t="s">
        <v>72</v>
      </c>
      <c r="F71">
        <v>101.19</v>
      </c>
      <c r="G71" t="s">
        <v>44</v>
      </c>
      <c r="H71">
        <v>1.75</v>
      </c>
      <c r="I71" t="s">
        <v>45</v>
      </c>
      <c r="J71" t="s">
        <v>46</v>
      </c>
      <c r="K71">
        <v>265.5</v>
      </c>
      <c r="L71">
        <v>0.1</v>
      </c>
      <c r="M71" t="s">
        <v>98</v>
      </c>
      <c r="N71" t="s">
        <v>61</v>
      </c>
      <c r="O71">
        <v>0.1</v>
      </c>
      <c r="P71" t="s">
        <v>154</v>
      </c>
      <c r="Q71">
        <v>1</v>
      </c>
      <c r="R71">
        <v>1.85</v>
      </c>
      <c r="S71" s="5">
        <f t="shared" si="1"/>
        <v>23.19</v>
      </c>
      <c r="T71" t="s">
        <v>44</v>
      </c>
      <c r="U71" t="s">
        <v>61</v>
      </c>
      <c r="V71" t="s">
        <v>106</v>
      </c>
      <c r="W71">
        <v>1</v>
      </c>
      <c r="X71" t="s">
        <v>44</v>
      </c>
      <c r="Y71">
        <v>25</v>
      </c>
      <c r="Z71">
        <v>3</v>
      </c>
      <c r="AA71">
        <v>1000</v>
      </c>
      <c r="AB71" t="s">
        <v>69</v>
      </c>
      <c r="AC71" t="s">
        <v>52</v>
      </c>
      <c r="AD71">
        <v>2</v>
      </c>
      <c r="AE71">
        <v>7.1999999999999995E-2</v>
      </c>
      <c r="AF71">
        <v>0.42799999999999999</v>
      </c>
      <c r="AG71">
        <v>-1830</v>
      </c>
      <c r="AH71">
        <v>-1</v>
      </c>
      <c r="AI71">
        <v>0.18099999999999999</v>
      </c>
      <c r="AJ71">
        <v>0.33200000000000002</v>
      </c>
      <c r="AK71">
        <v>-340</v>
      </c>
      <c r="AL71">
        <v>30</v>
      </c>
      <c r="AM71" t="s">
        <v>44</v>
      </c>
      <c r="AN71">
        <v>2.8</v>
      </c>
      <c r="AO71" t="s">
        <v>155</v>
      </c>
      <c r="AP71">
        <v>1</v>
      </c>
      <c r="AQ71">
        <v>416</v>
      </c>
    </row>
    <row r="72" spans="1:43" x14ac:dyDescent="0.2">
      <c r="A72" t="s">
        <v>144</v>
      </c>
      <c r="B72" t="s">
        <v>145</v>
      </c>
      <c r="C72">
        <v>200.32</v>
      </c>
      <c r="D72" t="s">
        <v>71</v>
      </c>
      <c r="E72" t="s">
        <v>72</v>
      </c>
      <c r="F72">
        <v>101.19</v>
      </c>
      <c r="G72" t="s">
        <v>44</v>
      </c>
      <c r="H72">
        <v>0.5</v>
      </c>
      <c r="I72" t="s">
        <v>45</v>
      </c>
      <c r="J72" t="s">
        <v>46</v>
      </c>
      <c r="K72">
        <v>265.5</v>
      </c>
      <c r="L72">
        <v>0.05</v>
      </c>
      <c r="M72" t="s">
        <v>98</v>
      </c>
      <c r="N72" t="s">
        <v>61</v>
      </c>
      <c r="O72">
        <v>0.1</v>
      </c>
      <c r="P72" t="s">
        <v>154</v>
      </c>
      <c r="Q72">
        <v>1</v>
      </c>
      <c r="R72">
        <v>0.55000000000000004</v>
      </c>
      <c r="S72" s="5">
        <f t="shared" si="1"/>
        <v>13.25</v>
      </c>
      <c r="T72" t="s">
        <v>44</v>
      </c>
      <c r="U72" t="s">
        <v>61</v>
      </c>
      <c r="V72" t="s">
        <v>106</v>
      </c>
      <c r="W72">
        <v>1</v>
      </c>
      <c r="X72" t="s">
        <v>44</v>
      </c>
      <c r="Y72">
        <v>25</v>
      </c>
      <c r="Z72">
        <v>3</v>
      </c>
      <c r="AA72">
        <v>1000</v>
      </c>
      <c r="AB72" t="s">
        <v>150</v>
      </c>
      <c r="AC72" t="s">
        <v>52</v>
      </c>
      <c r="AD72">
        <v>1</v>
      </c>
      <c r="AE72">
        <v>6.9000000000000006E-2</v>
      </c>
      <c r="AF72">
        <v>0.38200000000000001</v>
      </c>
      <c r="AG72">
        <v>-475</v>
      </c>
      <c r="AH72">
        <v>-1</v>
      </c>
      <c r="AI72">
        <v>0.18099999999999999</v>
      </c>
      <c r="AJ72">
        <v>0.33200000000000002</v>
      </c>
      <c r="AK72">
        <v>-340</v>
      </c>
      <c r="AL72">
        <v>30</v>
      </c>
      <c r="AM72" t="s">
        <v>44</v>
      </c>
      <c r="AN72">
        <v>2.8</v>
      </c>
      <c r="AO72" t="s">
        <v>155</v>
      </c>
      <c r="AP72">
        <v>1</v>
      </c>
      <c r="AQ72">
        <v>418</v>
      </c>
    </row>
    <row r="73" spans="1:43" x14ac:dyDescent="0.2">
      <c r="A73" t="s">
        <v>144</v>
      </c>
      <c r="B73" t="s">
        <v>145</v>
      </c>
      <c r="C73">
        <v>200.32</v>
      </c>
      <c r="D73" t="s">
        <v>71</v>
      </c>
      <c r="E73" t="s">
        <v>72</v>
      </c>
      <c r="F73">
        <v>101.19</v>
      </c>
      <c r="G73" t="s">
        <v>44</v>
      </c>
      <c r="H73">
        <v>1</v>
      </c>
      <c r="I73" t="s">
        <v>45</v>
      </c>
      <c r="J73" t="s">
        <v>46</v>
      </c>
      <c r="K73">
        <v>265.5</v>
      </c>
      <c r="L73">
        <v>0.15</v>
      </c>
      <c r="M73" t="s">
        <v>98</v>
      </c>
      <c r="N73" t="s">
        <v>61</v>
      </c>
      <c r="O73">
        <v>0.1</v>
      </c>
      <c r="P73" t="s">
        <v>154</v>
      </c>
      <c r="Q73">
        <v>1</v>
      </c>
      <c r="R73">
        <v>1.1499999999999999</v>
      </c>
      <c r="S73" s="5">
        <f t="shared" si="1"/>
        <v>8.84</v>
      </c>
      <c r="T73" t="s">
        <v>44</v>
      </c>
      <c r="U73" t="s">
        <v>61</v>
      </c>
      <c r="V73" t="s">
        <v>106</v>
      </c>
      <c r="W73">
        <v>1</v>
      </c>
      <c r="X73" t="s">
        <v>44</v>
      </c>
      <c r="Y73">
        <v>25</v>
      </c>
      <c r="Z73">
        <v>3</v>
      </c>
      <c r="AA73">
        <v>1000</v>
      </c>
      <c r="AB73" t="s">
        <v>150</v>
      </c>
      <c r="AC73" t="s">
        <v>52</v>
      </c>
      <c r="AD73">
        <v>1</v>
      </c>
      <c r="AE73">
        <v>6.9000000000000006E-2</v>
      </c>
      <c r="AF73">
        <v>0.38200000000000001</v>
      </c>
      <c r="AG73">
        <v>-475</v>
      </c>
      <c r="AH73">
        <v>-1</v>
      </c>
      <c r="AI73">
        <v>0.18099999999999999</v>
      </c>
      <c r="AJ73">
        <v>0.33200000000000002</v>
      </c>
      <c r="AK73">
        <v>-340</v>
      </c>
      <c r="AL73">
        <v>30</v>
      </c>
      <c r="AM73" t="s">
        <v>44</v>
      </c>
      <c r="AN73">
        <v>2.8</v>
      </c>
      <c r="AO73" t="s">
        <v>155</v>
      </c>
      <c r="AP73">
        <v>1</v>
      </c>
      <c r="AQ73">
        <v>419</v>
      </c>
    </row>
    <row r="74" spans="1:43" x14ac:dyDescent="0.2">
      <c r="A74" t="s">
        <v>144</v>
      </c>
      <c r="B74" t="s">
        <v>145</v>
      </c>
      <c r="C74">
        <v>200.32</v>
      </c>
      <c r="D74" t="s">
        <v>71</v>
      </c>
      <c r="E74" t="s">
        <v>72</v>
      </c>
      <c r="F74">
        <v>101.19</v>
      </c>
      <c r="G74" t="s">
        <v>44</v>
      </c>
      <c r="H74">
        <v>0.25</v>
      </c>
      <c r="I74" t="s">
        <v>45</v>
      </c>
      <c r="J74" t="s">
        <v>46</v>
      </c>
      <c r="K74">
        <v>265.5</v>
      </c>
      <c r="L74">
        <v>0.05</v>
      </c>
      <c r="M74" t="s">
        <v>98</v>
      </c>
      <c r="N74" t="s">
        <v>61</v>
      </c>
      <c r="O74">
        <v>0.1</v>
      </c>
      <c r="P74" t="s">
        <v>154</v>
      </c>
      <c r="Q74">
        <v>1</v>
      </c>
      <c r="R74">
        <v>0.3</v>
      </c>
      <c r="S74" s="5">
        <f t="shared" si="1"/>
        <v>6.63</v>
      </c>
      <c r="T74" t="s">
        <v>44</v>
      </c>
      <c r="U74" t="s">
        <v>61</v>
      </c>
      <c r="V74" t="s">
        <v>106</v>
      </c>
      <c r="W74">
        <v>1</v>
      </c>
      <c r="X74" t="s">
        <v>44</v>
      </c>
      <c r="Y74">
        <v>25</v>
      </c>
      <c r="Z74">
        <v>3</v>
      </c>
      <c r="AA74">
        <v>1000</v>
      </c>
      <c r="AB74" t="s">
        <v>69</v>
      </c>
      <c r="AC74" t="s">
        <v>52</v>
      </c>
      <c r="AD74">
        <v>2</v>
      </c>
      <c r="AE74">
        <v>7.1999999999999995E-2</v>
      </c>
      <c r="AF74">
        <v>0.42799999999999999</v>
      </c>
      <c r="AG74">
        <v>-1830</v>
      </c>
      <c r="AH74">
        <v>-1</v>
      </c>
      <c r="AI74">
        <v>0.18099999999999999</v>
      </c>
      <c r="AJ74">
        <v>0.33200000000000002</v>
      </c>
      <c r="AK74">
        <v>-340</v>
      </c>
      <c r="AL74">
        <v>30</v>
      </c>
      <c r="AM74" t="s">
        <v>44</v>
      </c>
      <c r="AN74">
        <v>2.8</v>
      </c>
      <c r="AO74" t="s">
        <v>155</v>
      </c>
      <c r="AP74">
        <v>1</v>
      </c>
      <c r="AQ74">
        <v>421</v>
      </c>
    </row>
    <row r="75" spans="1:43" x14ac:dyDescent="0.2">
      <c r="A75" t="s">
        <v>144</v>
      </c>
      <c r="B75" t="s">
        <v>145</v>
      </c>
      <c r="C75">
        <v>200.32</v>
      </c>
      <c r="D75" t="s">
        <v>71</v>
      </c>
      <c r="E75" t="s">
        <v>72</v>
      </c>
      <c r="F75">
        <v>101.19</v>
      </c>
      <c r="G75" t="s">
        <v>44</v>
      </c>
      <c r="H75">
        <v>0.5</v>
      </c>
      <c r="I75" t="s">
        <v>45</v>
      </c>
      <c r="J75" t="s">
        <v>46</v>
      </c>
      <c r="K75">
        <v>265.5</v>
      </c>
      <c r="L75">
        <v>0.1</v>
      </c>
      <c r="M75" t="s">
        <v>98</v>
      </c>
      <c r="N75" t="s">
        <v>61</v>
      </c>
      <c r="O75">
        <v>0.1</v>
      </c>
      <c r="P75" t="s">
        <v>154</v>
      </c>
      <c r="Q75">
        <v>1</v>
      </c>
      <c r="R75">
        <v>0.6</v>
      </c>
      <c r="S75" s="5">
        <f t="shared" si="1"/>
        <v>6.63</v>
      </c>
      <c r="T75" t="s">
        <v>44</v>
      </c>
      <c r="U75" t="s">
        <v>61</v>
      </c>
      <c r="V75" t="s">
        <v>106</v>
      </c>
      <c r="W75">
        <v>1</v>
      </c>
      <c r="X75" t="s">
        <v>44</v>
      </c>
      <c r="Y75">
        <v>25</v>
      </c>
      <c r="Z75">
        <v>3</v>
      </c>
      <c r="AA75">
        <v>1000</v>
      </c>
      <c r="AB75" t="s">
        <v>69</v>
      </c>
      <c r="AC75" t="s">
        <v>52</v>
      </c>
      <c r="AD75">
        <v>2</v>
      </c>
      <c r="AE75">
        <v>7.1999999999999995E-2</v>
      </c>
      <c r="AF75">
        <v>0.42799999999999999</v>
      </c>
      <c r="AG75">
        <v>-1830</v>
      </c>
      <c r="AH75">
        <v>-1</v>
      </c>
      <c r="AI75">
        <v>0.18099999999999999</v>
      </c>
      <c r="AJ75">
        <v>0.33200000000000002</v>
      </c>
      <c r="AK75">
        <v>-340</v>
      </c>
      <c r="AL75">
        <v>30</v>
      </c>
      <c r="AM75" t="s">
        <v>44</v>
      </c>
      <c r="AN75">
        <v>2.8</v>
      </c>
      <c r="AO75" t="s">
        <v>155</v>
      </c>
      <c r="AP75">
        <v>1</v>
      </c>
      <c r="AQ75">
        <v>422</v>
      </c>
    </row>
    <row r="76" spans="1:43" x14ac:dyDescent="0.2">
      <c r="A76" t="s">
        <v>42</v>
      </c>
      <c r="B76" t="s">
        <v>43</v>
      </c>
      <c r="C76">
        <v>86.14</v>
      </c>
      <c r="D76" t="s">
        <v>44</v>
      </c>
      <c r="G76" t="s">
        <v>44</v>
      </c>
      <c r="H76">
        <v>0.05</v>
      </c>
      <c r="I76" t="s">
        <v>45</v>
      </c>
      <c r="J76" t="s">
        <v>46</v>
      </c>
      <c r="K76">
        <v>265.5</v>
      </c>
      <c r="L76">
        <v>0.05</v>
      </c>
      <c r="M76" t="s">
        <v>47</v>
      </c>
      <c r="N76" t="s">
        <v>44</v>
      </c>
      <c r="O76" t="s">
        <v>44</v>
      </c>
      <c r="P76" t="s">
        <v>44</v>
      </c>
      <c r="Q76" t="s">
        <v>44</v>
      </c>
      <c r="R76">
        <v>0.1</v>
      </c>
      <c r="S76" s="5">
        <f t="shared" si="1"/>
        <v>3.08</v>
      </c>
      <c r="T76" t="s">
        <v>44</v>
      </c>
      <c r="U76" t="s">
        <v>44</v>
      </c>
      <c r="V76" t="s">
        <v>48</v>
      </c>
      <c r="W76" t="s">
        <v>44</v>
      </c>
      <c r="X76">
        <v>30</v>
      </c>
      <c r="Y76">
        <v>60</v>
      </c>
      <c r="Z76">
        <v>6</v>
      </c>
      <c r="AA76">
        <v>1000</v>
      </c>
      <c r="AB76" t="s">
        <v>49</v>
      </c>
      <c r="AC76" t="s">
        <v>50</v>
      </c>
      <c r="AD76">
        <v>1</v>
      </c>
      <c r="AE76">
        <v>0.10199999999999999</v>
      </c>
      <c r="AF76">
        <v>0.35799999999999998</v>
      </c>
      <c r="AG76">
        <v>-365</v>
      </c>
      <c r="AH76">
        <v>-2</v>
      </c>
      <c r="AI76">
        <v>0.23</v>
      </c>
      <c r="AJ76">
        <v>0.379</v>
      </c>
      <c r="AK76">
        <v>-1080</v>
      </c>
      <c r="AL76">
        <v>120</v>
      </c>
      <c r="AM76" t="s">
        <v>44</v>
      </c>
      <c r="AN76">
        <v>2.9</v>
      </c>
      <c r="AO76" t="s">
        <v>66</v>
      </c>
      <c r="AP76">
        <v>1</v>
      </c>
      <c r="AQ76">
        <v>8</v>
      </c>
    </row>
    <row r="77" spans="1:43" x14ac:dyDescent="0.2">
      <c r="A77" t="s">
        <v>59</v>
      </c>
      <c r="B77" t="s">
        <v>60</v>
      </c>
      <c r="C77">
        <v>43.1</v>
      </c>
      <c r="D77" t="s">
        <v>44</v>
      </c>
      <c r="G77" t="s">
        <v>44</v>
      </c>
      <c r="H77">
        <v>3</v>
      </c>
      <c r="I77" t="s">
        <v>45</v>
      </c>
      <c r="J77" t="s">
        <v>46</v>
      </c>
      <c r="K77">
        <v>265.5</v>
      </c>
      <c r="L77">
        <v>0.4</v>
      </c>
      <c r="M77" t="s">
        <v>47</v>
      </c>
      <c r="N77" t="s">
        <v>61</v>
      </c>
      <c r="O77">
        <v>0.1</v>
      </c>
      <c r="P77" t="s">
        <v>44</v>
      </c>
      <c r="Q77" t="s">
        <v>44</v>
      </c>
      <c r="R77">
        <v>3.4</v>
      </c>
      <c r="S77" s="5">
        <f t="shared" si="1"/>
        <v>46.2</v>
      </c>
      <c r="T77">
        <v>9.5</v>
      </c>
      <c r="U77" t="s">
        <v>44</v>
      </c>
      <c r="V77" t="s">
        <v>48</v>
      </c>
      <c r="W77" t="s">
        <v>44</v>
      </c>
      <c r="X77">
        <v>20</v>
      </c>
      <c r="Y77">
        <v>95</v>
      </c>
      <c r="Z77">
        <v>8</v>
      </c>
      <c r="AA77">
        <v>500</v>
      </c>
      <c r="AB77" t="s">
        <v>69</v>
      </c>
      <c r="AC77" t="s">
        <v>52</v>
      </c>
      <c r="AD77">
        <v>2</v>
      </c>
      <c r="AE77">
        <v>7.1999999999999995E-2</v>
      </c>
      <c r="AF77">
        <v>0.42799999999999999</v>
      </c>
      <c r="AG77">
        <v>-1830</v>
      </c>
      <c r="AH77">
        <v>-1</v>
      </c>
      <c r="AI77">
        <v>0.18099999999999999</v>
      </c>
      <c r="AJ77">
        <v>0.33200000000000002</v>
      </c>
      <c r="AK77">
        <v>-340</v>
      </c>
      <c r="AL77">
        <v>1800</v>
      </c>
      <c r="AM77" t="s">
        <v>44</v>
      </c>
      <c r="AN77">
        <v>2.9</v>
      </c>
      <c r="AO77" t="s">
        <v>62</v>
      </c>
      <c r="AP77">
        <v>1</v>
      </c>
      <c r="AQ77">
        <v>244</v>
      </c>
    </row>
    <row r="78" spans="1:43" x14ac:dyDescent="0.2">
      <c r="A78" t="s">
        <v>59</v>
      </c>
      <c r="B78" t="s">
        <v>60</v>
      </c>
      <c r="C78">
        <v>43.1</v>
      </c>
      <c r="D78" t="s">
        <v>44</v>
      </c>
      <c r="G78" t="s">
        <v>44</v>
      </c>
      <c r="H78">
        <v>3.5</v>
      </c>
      <c r="I78" t="s">
        <v>45</v>
      </c>
      <c r="J78" t="s">
        <v>46</v>
      </c>
      <c r="K78">
        <v>265.5</v>
      </c>
      <c r="L78">
        <v>0.4</v>
      </c>
      <c r="M78" t="s">
        <v>47</v>
      </c>
      <c r="N78" t="s">
        <v>61</v>
      </c>
      <c r="O78">
        <v>0.1</v>
      </c>
      <c r="P78" t="s">
        <v>44</v>
      </c>
      <c r="Q78" t="s">
        <v>44</v>
      </c>
      <c r="R78">
        <v>3.9</v>
      </c>
      <c r="S78" s="5">
        <f t="shared" si="1"/>
        <v>53.9</v>
      </c>
      <c r="T78">
        <v>9.5</v>
      </c>
      <c r="U78" t="s">
        <v>44</v>
      </c>
      <c r="V78" t="s">
        <v>48</v>
      </c>
      <c r="W78" t="s">
        <v>44</v>
      </c>
      <c r="X78">
        <v>20</v>
      </c>
      <c r="Y78">
        <v>95</v>
      </c>
      <c r="Z78">
        <v>8</v>
      </c>
      <c r="AA78">
        <v>500</v>
      </c>
      <c r="AB78" t="s">
        <v>69</v>
      </c>
      <c r="AC78" t="s">
        <v>50</v>
      </c>
      <c r="AD78">
        <v>2</v>
      </c>
      <c r="AE78">
        <v>7.1999999999999995E-2</v>
      </c>
      <c r="AF78">
        <v>0.42799999999999999</v>
      </c>
      <c r="AG78">
        <v>-1830</v>
      </c>
      <c r="AH78">
        <v>-2</v>
      </c>
      <c r="AI78">
        <v>0.23</v>
      </c>
      <c r="AJ78">
        <v>0.379</v>
      </c>
      <c r="AK78">
        <v>-1080</v>
      </c>
      <c r="AL78">
        <v>1800</v>
      </c>
      <c r="AM78" t="s">
        <v>44</v>
      </c>
      <c r="AN78">
        <v>2.9</v>
      </c>
      <c r="AO78" t="s">
        <v>62</v>
      </c>
      <c r="AP78">
        <v>1</v>
      </c>
      <c r="AQ78">
        <v>248</v>
      </c>
    </row>
    <row r="79" spans="1:43" x14ac:dyDescent="0.2">
      <c r="A79" t="s">
        <v>59</v>
      </c>
      <c r="B79" t="s">
        <v>60</v>
      </c>
      <c r="C79">
        <v>43.1</v>
      </c>
      <c r="D79" t="s">
        <v>44</v>
      </c>
      <c r="G79" t="s">
        <v>44</v>
      </c>
      <c r="H79">
        <v>3</v>
      </c>
      <c r="I79" t="s">
        <v>45</v>
      </c>
      <c r="J79" t="s">
        <v>46</v>
      </c>
      <c r="K79">
        <v>265.5</v>
      </c>
      <c r="L79">
        <v>0.4</v>
      </c>
      <c r="M79" t="s">
        <v>47</v>
      </c>
      <c r="N79" t="s">
        <v>61</v>
      </c>
      <c r="O79">
        <v>0.1</v>
      </c>
      <c r="P79" t="s">
        <v>44</v>
      </c>
      <c r="Q79" t="s">
        <v>44</v>
      </c>
      <c r="R79">
        <v>3.4</v>
      </c>
      <c r="S79" s="5">
        <f t="shared" si="1"/>
        <v>46.2</v>
      </c>
      <c r="T79">
        <v>9.5</v>
      </c>
      <c r="U79" t="s">
        <v>44</v>
      </c>
      <c r="V79" t="s">
        <v>48</v>
      </c>
      <c r="W79" t="s">
        <v>44</v>
      </c>
      <c r="X79">
        <v>20</v>
      </c>
      <c r="Y79">
        <v>95</v>
      </c>
      <c r="Z79">
        <v>8</v>
      </c>
      <c r="AA79">
        <v>500</v>
      </c>
      <c r="AB79" t="s">
        <v>49</v>
      </c>
      <c r="AC79" t="s">
        <v>50</v>
      </c>
      <c r="AD79">
        <v>1</v>
      </c>
      <c r="AE79">
        <v>0.10199999999999999</v>
      </c>
      <c r="AF79">
        <v>0.35799999999999998</v>
      </c>
      <c r="AG79">
        <v>-365</v>
      </c>
      <c r="AH79">
        <v>-2</v>
      </c>
      <c r="AI79">
        <v>0.23</v>
      </c>
      <c r="AJ79">
        <v>0.379</v>
      </c>
      <c r="AK79">
        <v>-1080</v>
      </c>
      <c r="AL79">
        <v>1800</v>
      </c>
      <c r="AM79" t="s">
        <v>44</v>
      </c>
      <c r="AN79">
        <v>2.9</v>
      </c>
      <c r="AO79" t="s">
        <v>62</v>
      </c>
      <c r="AP79">
        <v>1</v>
      </c>
      <c r="AQ79">
        <v>263</v>
      </c>
    </row>
    <row r="80" spans="1:43" x14ac:dyDescent="0.2">
      <c r="A80" t="s">
        <v>59</v>
      </c>
      <c r="B80" t="s">
        <v>60</v>
      </c>
      <c r="C80">
        <v>43.1</v>
      </c>
      <c r="D80" t="s">
        <v>44</v>
      </c>
      <c r="G80" t="s">
        <v>44</v>
      </c>
      <c r="H80">
        <v>3.5</v>
      </c>
      <c r="I80" t="s">
        <v>45</v>
      </c>
      <c r="J80" t="s">
        <v>46</v>
      </c>
      <c r="K80">
        <v>265.5</v>
      </c>
      <c r="L80">
        <v>0.4</v>
      </c>
      <c r="M80" t="s">
        <v>47</v>
      </c>
      <c r="N80" t="s">
        <v>61</v>
      </c>
      <c r="O80">
        <v>0.1</v>
      </c>
      <c r="P80" t="s">
        <v>44</v>
      </c>
      <c r="Q80" t="s">
        <v>44</v>
      </c>
      <c r="R80">
        <v>3.9</v>
      </c>
      <c r="S80" s="5">
        <f t="shared" si="1"/>
        <v>53.9</v>
      </c>
      <c r="T80">
        <v>9.5</v>
      </c>
      <c r="U80" t="s">
        <v>44</v>
      </c>
      <c r="V80" t="s">
        <v>48</v>
      </c>
      <c r="W80" t="s">
        <v>44</v>
      </c>
      <c r="X80">
        <v>20</v>
      </c>
      <c r="Y80">
        <v>95</v>
      </c>
      <c r="Z80">
        <v>8</v>
      </c>
      <c r="AA80">
        <v>500</v>
      </c>
      <c r="AB80" t="s">
        <v>49</v>
      </c>
      <c r="AC80" t="s">
        <v>50</v>
      </c>
      <c r="AD80">
        <v>1</v>
      </c>
      <c r="AE80">
        <v>0.10199999999999999</v>
      </c>
      <c r="AF80">
        <v>0.35799999999999998</v>
      </c>
      <c r="AG80">
        <v>-365</v>
      </c>
      <c r="AH80">
        <v>-2</v>
      </c>
      <c r="AI80">
        <v>0.23</v>
      </c>
      <c r="AJ80">
        <v>0.379</v>
      </c>
      <c r="AK80">
        <v>-1080</v>
      </c>
      <c r="AL80">
        <v>1800</v>
      </c>
      <c r="AM80" t="s">
        <v>44</v>
      </c>
      <c r="AN80">
        <v>2.9</v>
      </c>
      <c r="AO80" t="s">
        <v>62</v>
      </c>
      <c r="AP80">
        <v>1</v>
      </c>
      <c r="AQ80">
        <v>265</v>
      </c>
    </row>
    <row r="81" spans="1:43" x14ac:dyDescent="0.2">
      <c r="A81" t="s">
        <v>59</v>
      </c>
      <c r="B81" t="s">
        <v>60</v>
      </c>
      <c r="C81">
        <v>43.1</v>
      </c>
      <c r="D81" t="s">
        <v>44</v>
      </c>
      <c r="G81" t="s">
        <v>44</v>
      </c>
      <c r="H81">
        <v>3.5</v>
      </c>
      <c r="I81" t="s">
        <v>45</v>
      </c>
      <c r="J81" t="s">
        <v>46</v>
      </c>
      <c r="K81">
        <v>265.5</v>
      </c>
      <c r="L81">
        <v>0.4</v>
      </c>
      <c r="M81" t="s">
        <v>47</v>
      </c>
      <c r="N81" t="s">
        <v>61</v>
      </c>
      <c r="O81">
        <v>0.1</v>
      </c>
      <c r="P81" t="s">
        <v>44</v>
      </c>
      <c r="Q81" t="s">
        <v>44</v>
      </c>
      <c r="R81">
        <v>3.9</v>
      </c>
      <c r="S81" s="5">
        <f t="shared" si="1"/>
        <v>53.9</v>
      </c>
      <c r="T81">
        <v>9.5</v>
      </c>
      <c r="U81" t="s">
        <v>44</v>
      </c>
      <c r="V81" t="s">
        <v>48</v>
      </c>
      <c r="W81" t="s">
        <v>44</v>
      </c>
      <c r="X81">
        <v>20</v>
      </c>
      <c r="Y81">
        <v>95</v>
      </c>
      <c r="Z81">
        <v>8</v>
      </c>
      <c r="AA81">
        <v>500</v>
      </c>
      <c r="AB81" t="s">
        <v>49</v>
      </c>
      <c r="AC81" t="s">
        <v>52</v>
      </c>
      <c r="AD81">
        <v>1</v>
      </c>
      <c r="AE81">
        <v>0.10199999999999999</v>
      </c>
      <c r="AF81">
        <v>0.35799999999999998</v>
      </c>
      <c r="AG81">
        <v>-365</v>
      </c>
      <c r="AH81">
        <v>-1</v>
      </c>
      <c r="AI81">
        <v>0.18099999999999999</v>
      </c>
      <c r="AJ81">
        <v>0.33200000000000002</v>
      </c>
      <c r="AK81">
        <v>-340</v>
      </c>
      <c r="AL81">
        <v>1800</v>
      </c>
      <c r="AM81" t="s">
        <v>44</v>
      </c>
      <c r="AN81">
        <v>2.9</v>
      </c>
      <c r="AO81" t="s">
        <v>62</v>
      </c>
      <c r="AP81">
        <v>1</v>
      </c>
      <c r="AQ81">
        <v>270</v>
      </c>
    </row>
    <row r="82" spans="1:43" x14ac:dyDescent="0.2">
      <c r="A82" t="s">
        <v>89</v>
      </c>
      <c r="B82" t="s">
        <v>90</v>
      </c>
      <c r="C82">
        <v>136.15</v>
      </c>
      <c r="D82" t="s">
        <v>44</v>
      </c>
      <c r="G82" t="s">
        <v>44</v>
      </c>
      <c r="H82">
        <v>5</v>
      </c>
      <c r="I82" t="s">
        <v>45</v>
      </c>
      <c r="J82" t="s">
        <v>46</v>
      </c>
      <c r="K82">
        <v>265.5</v>
      </c>
      <c r="L82">
        <v>0.45600000000000002</v>
      </c>
      <c r="M82" t="s">
        <v>47</v>
      </c>
      <c r="N82" t="s">
        <v>44</v>
      </c>
      <c r="O82" t="s">
        <v>44</v>
      </c>
      <c r="P82" t="s">
        <v>91</v>
      </c>
      <c r="Q82" t="s">
        <v>44</v>
      </c>
      <c r="R82">
        <v>5.4560000000000004</v>
      </c>
      <c r="S82" s="5">
        <f t="shared" si="1"/>
        <v>21.38</v>
      </c>
      <c r="T82">
        <v>11</v>
      </c>
      <c r="U82" t="s">
        <v>44</v>
      </c>
      <c r="V82" t="s">
        <v>48</v>
      </c>
      <c r="W82" t="s">
        <v>44</v>
      </c>
      <c r="X82">
        <v>40</v>
      </c>
      <c r="Y82">
        <v>60</v>
      </c>
      <c r="Z82">
        <v>5</v>
      </c>
      <c r="AA82">
        <v>1000</v>
      </c>
      <c r="AB82" t="s">
        <v>49</v>
      </c>
      <c r="AC82" t="s">
        <v>50</v>
      </c>
      <c r="AD82">
        <v>1</v>
      </c>
      <c r="AE82">
        <v>0.10199999999999999</v>
      </c>
      <c r="AF82">
        <v>0.35799999999999998</v>
      </c>
      <c r="AG82">
        <v>-365</v>
      </c>
      <c r="AH82">
        <v>-2</v>
      </c>
      <c r="AI82">
        <v>0.23</v>
      </c>
      <c r="AJ82">
        <v>0.379</v>
      </c>
      <c r="AK82">
        <v>-1080</v>
      </c>
      <c r="AL82">
        <v>1200</v>
      </c>
      <c r="AM82" t="s">
        <v>44</v>
      </c>
      <c r="AN82">
        <v>2.9</v>
      </c>
      <c r="AO82" t="s">
        <v>92</v>
      </c>
      <c r="AP82">
        <v>1</v>
      </c>
      <c r="AQ82">
        <v>331</v>
      </c>
    </row>
    <row r="83" spans="1:43" x14ac:dyDescent="0.2">
      <c r="A83" t="s">
        <v>42</v>
      </c>
      <c r="B83" t="s">
        <v>43</v>
      </c>
      <c r="C83">
        <v>86.14</v>
      </c>
      <c r="D83" t="s">
        <v>135</v>
      </c>
      <c r="E83" t="s">
        <v>136</v>
      </c>
      <c r="F83">
        <v>152.15</v>
      </c>
      <c r="G83">
        <v>39</v>
      </c>
      <c r="H83">
        <v>1.95</v>
      </c>
      <c r="I83" t="s">
        <v>45</v>
      </c>
      <c r="J83" t="s">
        <v>46</v>
      </c>
      <c r="K83">
        <v>265.5</v>
      </c>
      <c r="L83">
        <v>7.5999999999999998E-2</v>
      </c>
      <c r="M83" t="s">
        <v>47</v>
      </c>
      <c r="N83" t="s">
        <v>44</v>
      </c>
      <c r="O83" t="s">
        <v>44</v>
      </c>
      <c r="P83" t="s">
        <v>44</v>
      </c>
      <c r="Q83" t="s">
        <v>44</v>
      </c>
      <c r="R83">
        <v>2.0259999999999998</v>
      </c>
      <c r="S83" s="5">
        <f t="shared" si="1"/>
        <v>78.22</v>
      </c>
      <c r="T83" t="s">
        <v>44</v>
      </c>
      <c r="U83" t="s">
        <v>44</v>
      </c>
      <c r="V83" t="s">
        <v>48</v>
      </c>
      <c r="W83" t="s">
        <v>44</v>
      </c>
      <c r="X83" t="s">
        <v>44</v>
      </c>
      <c r="Y83" t="s">
        <v>44</v>
      </c>
      <c r="Z83">
        <v>4.5</v>
      </c>
      <c r="AA83">
        <v>585</v>
      </c>
      <c r="AB83" t="s">
        <v>49</v>
      </c>
      <c r="AC83" t="s">
        <v>52</v>
      </c>
      <c r="AD83">
        <v>1</v>
      </c>
      <c r="AE83">
        <v>0.10199999999999999</v>
      </c>
      <c r="AF83">
        <v>0.35799999999999998</v>
      </c>
      <c r="AG83">
        <v>-365</v>
      </c>
      <c r="AH83">
        <v>-1</v>
      </c>
      <c r="AI83">
        <v>0.18099999999999999</v>
      </c>
      <c r="AJ83">
        <v>0.33200000000000002</v>
      </c>
      <c r="AK83">
        <v>-340</v>
      </c>
      <c r="AL83">
        <v>30</v>
      </c>
      <c r="AM83" t="s">
        <v>44</v>
      </c>
      <c r="AN83">
        <v>2.9</v>
      </c>
      <c r="AO83" t="s">
        <v>137</v>
      </c>
      <c r="AP83">
        <v>1</v>
      </c>
      <c r="AQ83">
        <v>332</v>
      </c>
    </row>
    <row r="84" spans="1:43" x14ac:dyDescent="0.2">
      <c r="A84" t="s">
        <v>42</v>
      </c>
      <c r="B84" t="s">
        <v>43</v>
      </c>
      <c r="C84">
        <v>86.14</v>
      </c>
      <c r="D84" t="s">
        <v>135</v>
      </c>
      <c r="E84" t="s">
        <v>136</v>
      </c>
      <c r="F84">
        <v>152.15</v>
      </c>
      <c r="G84">
        <v>39</v>
      </c>
      <c r="H84">
        <v>1.95</v>
      </c>
      <c r="I84" t="s">
        <v>45</v>
      </c>
      <c r="J84" t="s">
        <v>46</v>
      </c>
      <c r="K84">
        <v>265.5</v>
      </c>
      <c r="L84">
        <v>7.5999999999999998E-2</v>
      </c>
      <c r="M84" t="s">
        <v>47</v>
      </c>
      <c r="N84" t="s">
        <v>44</v>
      </c>
      <c r="O84" t="s">
        <v>44</v>
      </c>
      <c r="P84" t="s">
        <v>44</v>
      </c>
      <c r="Q84" t="s">
        <v>44</v>
      </c>
      <c r="R84">
        <v>2.0259999999999998</v>
      </c>
      <c r="S84" s="5">
        <f t="shared" si="1"/>
        <v>78.22</v>
      </c>
      <c r="T84" t="s">
        <v>44</v>
      </c>
      <c r="U84" t="s">
        <v>44</v>
      </c>
      <c r="V84" t="s">
        <v>48</v>
      </c>
      <c r="W84" t="s">
        <v>44</v>
      </c>
      <c r="X84" t="s">
        <v>44</v>
      </c>
      <c r="Y84" t="s">
        <v>44</v>
      </c>
      <c r="Z84">
        <v>4.5</v>
      </c>
      <c r="AA84">
        <v>100</v>
      </c>
      <c r="AB84" t="s">
        <v>127</v>
      </c>
      <c r="AC84" t="s">
        <v>50</v>
      </c>
      <c r="AD84">
        <v>2</v>
      </c>
      <c r="AE84">
        <v>7.2999999999999995E-2</v>
      </c>
      <c r="AF84">
        <v>0.41899999999999998</v>
      </c>
      <c r="AG84">
        <v>-2010</v>
      </c>
      <c r="AH84">
        <v>-2</v>
      </c>
      <c r="AI84">
        <v>0.23</v>
      </c>
      <c r="AJ84">
        <v>0.379</v>
      </c>
      <c r="AK84">
        <v>-1080</v>
      </c>
      <c r="AL84">
        <v>30</v>
      </c>
      <c r="AM84" t="s">
        <v>44</v>
      </c>
      <c r="AN84">
        <v>2.9</v>
      </c>
      <c r="AO84" t="s">
        <v>137</v>
      </c>
      <c r="AP84">
        <v>1</v>
      </c>
      <c r="AQ84">
        <v>333</v>
      </c>
    </row>
    <row r="85" spans="1:43" x14ac:dyDescent="0.2">
      <c r="A85" t="s">
        <v>42</v>
      </c>
      <c r="B85" t="s">
        <v>43</v>
      </c>
      <c r="C85">
        <v>86.14</v>
      </c>
      <c r="D85" t="s">
        <v>44</v>
      </c>
      <c r="G85" t="s">
        <v>44</v>
      </c>
      <c r="H85">
        <v>1.76</v>
      </c>
      <c r="I85" t="s">
        <v>116</v>
      </c>
      <c r="J85" t="s">
        <v>117</v>
      </c>
      <c r="K85">
        <v>423.7</v>
      </c>
      <c r="L85">
        <v>0.03</v>
      </c>
      <c r="M85" t="s">
        <v>111</v>
      </c>
      <c r="N85" t="s">
        <v>61</v>
      </c>
      <c r="O85">
        <v>0.01</v>
      </c>
      <c r="P85" t="s">
        <v>118</v>
      </c>
      <c r="Q85">
        <v>4</v>
      </c>
      <c r="R85">
        <v>1.79</v>
      </c>
      <c r="S85" s="5">
        <f t="shared" si="1"/>
        <v>288.57</v>
      </c>
      <c r="T85" t="s">
        <v>44</v>
      </c>
      <c r="U85" t="s">
        <v>44</v>
      </c>
      <c r="V85" t="s">
        <v>48</v>
      </c>
      <c r="W85" t="s">
        <v>44</v>
      </c>
      <c r="X85">
        <v>10</v>
      </c>
      <c r="Y85">
        <v>25</v>
      </c>
      <c r="Z85">
        <v>5</v>
      </c>
      <c r="AA85">
        <v>500</v>
      </c>
      <c r="AB85" t="s">
        <v>49</v>
      </c>
      <c r="AC85" t="s">
        <v>50</v>
      </c>
      <c r="AD85">
        <v>1</v>
      </c>
      <c r="AE85">
        <v>0.10199999999999999</v>
      </c>
      <c r="AF85">
        <v>0.35799999999999998</v>
      </c>
      <c r="AG85">
        <v>-365</v>
      </c>
      <c r="AH85">
        <v>-2</v>
      </c>
      <c r="AI85">
        <v>0.23</v>
      </c>
      <c r="AJ85">
        <v>0.379</v>
      </c>
      <c r="AK85">
        <v>-1080</v>
      </c>
      <c r="AL85">
        <v>480</v>
      </c>
      <c r="AM85" t="s">
        <v>44</v>
      </c>
      <c r="AN85">
        <v>2.9</v>
      </c>
      <c r="AO85" t="s">
        <v>121</v>
      </c>
      <c r="AP85">
        <v>3</v>
      </c>
      <c r="AQ85">
        <v>334</v>
      </c>
    </row>
    <row r="86" spans="1:43" x14ac:dyDescent="0.2">
      <c r="A86" t="s">
        <v>42</v>
      </c>
      <c r="B86" t="s">
        <v>43</v>
      </c>
      <c r="C86">
        <v>86.14</v>
      </c>
      <c r="D86" t="s">
        <v>71</v>
      </c>
      <c r="E86" t="s">
        <v>72</v>
      </c>
      <c r="F86">
        <v>101.19</v>
      </c>
      <c r="G86">
        <v>5</v>
      </c>
      <c r="H86">
        <v>2</v>
      </c>
      <c r="I86" t="s">
        <v>45</v>
      </c>
      <c r="J86" t="s">
        <v>46</v>
      </c>
      <c r="K86">
        <v>265.5</v>
      </c>
      <c r="L86">
        <v>0.45600000000000002</v>
      </c>
      <c r="M86" t="s">
        <v>47</v>
      </c>
      <c r="N86" t="s">
        <v>44</v>
      </c>
      <c r="O86" t="s">
        <v>44</v>
      </c>
      <c r="P86" t="s">
        <v>44</v>
      </c>
      <c r="Q86" t="s">
        <v>44</v>
      </c>
      <c r="R86">
        <v>2.456</v>
      </c>
      <c r="S86" s="5">
        <f t="shared" si="1"/>
        <v>13.18</v>
      </c>
      <c r="T86" t="s">
        <v>44</v>
      </c>
      <c r="U86" t="s">
        <v>131</v>
      </c>
      <c r="V86" t="s">
        <v>132</v>
      </c>
      <c r="W86">
        <v>0.38100000000000001</v>
      </c>
      <c r="X86">
        <v>2</v>
      </c>
      <c r="Y86">
        <v>70</v>
      </c>
      <c r="Z86">
        <v>10</v>
      </c>
      <c r="AA86">
        <v>1000</v>
      </c>
      <c r="AB86" t="s">
        <v>49</v>
      </c>
      <c r="AC86" t="s">
        <v>50</v>
      </c>
      <c r="AD86">
        <v>1</v>
      </c>
      <c r="AE86">
        <v>0.10199999999999999</v>
      </c>
      <c r="AF86">
        <v>0.35799999999999998</v>
      </c>
      <c r="AG86">
        <v>-365</v>
      </c>
      <c r="AH86">
        <v>-2</v>
      </c>
      <c r="AI86">
        <v>0.23</v>
      </c>
      <c r="AJ86">
        <v>0.379</v>
      </c>
      <c r="AK86">
        <v>-1080</v>
      </c>
      <c r="AL86">
        <v>120</v>
      </c>
      <c r="AM86" t="s">
        <v>44</v>
      </c>
      <c r="AN86">
        <v>2.9</v>
      </c>
      <c r="AO86" t="s">
        <v>107</v>
      </c>
      <c r="AP86">
        <v>1</v>
      </c>
      <c r="AQ86">
        <v>340</v>
      </c>
    </row>
    <row r="87" spans="1:43" x14ac:dyDescent="0.2">
      <c r="A87" t="s">
        <v>42</v>
      </c>
      <c r="B87" t="s">
        <v>43</v>
      </c>
      <c r="C87">
        <v>86.14</v>
      </c>
      <c r="D87" t="s">
        <v>71</v>
      </c>
      <c r="E87" t="s">
        <v>72</v>
      </c>
      <c r="F87">
        <v>101.19</v>
      </c>
      <c r="G87">
        <v>1</v>
      </c>
      <c r="H87">
        <v>3.0539999999999998</v>
      </c>
      <c r="I87" t="s">
        <v>45</v>
      </c>
      <c r="J87" t="s">
        <v>46</v>
      </c>
      <c r="K87">
        <v>265.5</v>
      </c>
      <c r="L87">
        <v>0.1</v>
      </c>
      <c r="M87" t="s">
        <v>47</v>
      </c>
      <c r="N87" t="s">
        <v>149</v>
      </c>
      <c r="O87">
        <v>0.1</v>
      </c>
      <c r="P87" t="s">
        <v>44</v>
      </c>
      <c r="Q87" t="s">
        <v>44</v>
      </c>
      <c r="R87">
        <v>3.1539999999999999</v>
      </c>
      <c r="S87" s="5">
        <f t="shared" si="1"/>
        <v>87.13</v>
      </c>
      <c r="T87" t="s">
        <v>44</v>
      </c>
      <c r="U87" t="s">
        <v>44</v>
      </c>
      <c r="V87" t="s">
        <v>48</v>
      </c>
      <c r="W87" t="s">
        <v>44</v>
      </c>
      <c r="X87">
        <v>10</v>
      </c>
      <c r="Y87" t="s">
        <v>44</v>
      </c>
      <c r="Z87">
        <v>4.8</v>
      </c>
      <c r="AA87">
        <v>2000</v>
      </c>
      <c r="AB87" t="s">
        <v>69</v>
      </c>
      <c r="AC87" t="s">
        <v>50</v>
      </c>
      <c r="AD87">
        <v>2</v>
      </c>
      <c r="AE87">
        <v>7.1999999999999995E-2</v>
      </c>
      <c r="AF87">
        <v>0.42799999999999999</v>
      </c>
      <c r="AG87">
        <v>-1830</v>
      </c>
      <c r="AH87">
        <v>-2</v>
      </c>
      <c r="AI87">
        <v>0.23</v>
      </c>
      <c r="AJ87">
        <v>0.379</v>
      </c>
      <c r="AK87">
        <v>-1080</v>
      </c>
      <c r="AL87">
        <v>60</v>
      </c>
      <c r="AM87" t="s">
        <v>44</v>
      </c>
      <c r="AN87">
        <v>2.9</v>
      </c>
      <c r="AO87" t="s">
        <v>73</v>
      </c>
      <c r="AP87">
        <v>1</v>
      </c>
      <c r="AQ87">
        <v>341</v>
      </c>
    </row>
    <row r="88" spans="1:43" x14ac:dyDescent="0.2">
      <c r="A88" t="s">
        <v>42</v>
      </c>
      <c r="B88" t="s">
        <v>43</v>
      </c>
      <c r="C88">
        <v>86.14</v>
      </c>
      <c r="D88" t="s">
        <v>71</v>
      </c>
      <c r="E88" t="s">
        <v>72</v>
      </c>
      <c r="F88">
        <v>101.19</v>
      </c>
      <c r="G88">
        <v>1</v>
      </c>
      <c r="H88">
        <v>3.0539999999999998</v>
      </c>
      <c r="I88" t="s">
        <v>45</v>
      </c>
      <c r="J88" t="s">
        <v>46</v>
      </c>
      <c r="K88">
        <v>265.5</v>
      </c>
      <c r="L88">
        <v>0.1</v>
      </c>
      <c r="M88" t="s">
        <v>47</v>
      </c>
      <c r="N88" t="s">
        <v>149</v>
      </c>
      <c r="O88">
        <v>0.5</v>
      </c>
      <c r="P88" t="s">
        <v>44</v>
      </c>
      <c r="Q88" t="s">
        <v>44</v>
      </c>
      <c r="R88">
        <v>3.1539999999999999</v>
      </c>
      <c r="S88" s="5">
        <f t="shared" si="1"/>
        <v>87.13</v>
      </c>
      <c r="T88" t="s">
        <v>44</v>
      </c>
      <c r="U88" t="s">
        <v>44</v>
      </c>
      <c r="V88" t="s">
        <v>48</v>
      </c>
      <c r="W88" t="s">
        <v>44</v>
      </c>
      <c r="X88">
        <v>10</v>
      </c>
      <c r="Y88" t="s">
        <v>44</v>
      </c>
      <c r="Z88">
        <v>4.8</v>
      </c>
      <c r="AA88">
        <v>2000</v>
      </c>
      <c r="AB88" t="s">
        <v>69</v>
      </c>
      <c r="AC88" t="s">
        <v>50</v>
      </c>
      <c r="AD88">
        <v>2</v>
      </c>
      <c r="AE88">
        <v>7.1999999999999995E-2</v>
      </c>
      <c r="AF88">
        <v>0.42799999999999999</v>
      </c>
      <c r="AG88">
        <v>-1830</v>
      </c>
      <c r="AH88">
        <v>-2</v>
      </c>
      <c r="AI88">
        <v>0.23</v>
      </c>
      <c r="AJ88">
        <v>0.379</v>
      </c>
      <c r="AK88">
        <v>-1080</v>
      </c>
      <c r="AL88">
        <v>60</v>
      </c>
      <c r="AM88" t="s">
        <v>44</v>
      </c>
      <c r="AN88">
        <v>2.9</v>
      </c>
      <c r="AO88" t="s">
        <v>73</v>
      </c>
      <c r="AP88">
        <v>1</v>
      </c>
      <c r="AQ88">
        <v>342</v>
      </c>
    </row>
    <row r="89" spans="1:43" x14ac:dyDescent="0.2">
      <c r="A89" t="s">
        <v>59</v>
      </c>
      <c r="B89" t="s">
        <v>60</v>
      </c>
      <c r="C89">
        <v>43.1</v>
      </c>
      <c r="D89" t="s">
        <v>44</v>
      </c>
      <c r="G89" t="s">
        <v>44</v>
      </c>
      <c r="H89">
        <v>3</v>
      </c>
      <c r="I89" t="s">
        <v>45</v>
      </c>
      <c r="J89" t="s">
        <v>46</v>
      </c>
      <c r="K89">
        <v>265.5</v>
      </c>
      <c r="L89">
        <v>0.4</v>
      </c>
      <c r="M89" t="s">
        <v>47</v>
      </c>
      <c r="N89" t="s">
        <v>61</v>
      </c>
      <c r="O89">
        <v>0.1</v>
      </c>
      <c r="P89" t="s">
        <v>44</v>
      </c>
      <c r="Q89" t="s">
        <v>44</v>
      </c>
      <c r="R89">
        <v>3.4</v>
      </c>
      <c r="S89" s="5">
        <f t="shared" si="1"/>
        <v>46.2</v>
      </c>
      <c r="T89">
        <v>9.5</v>
      </c>
      <c r="U89" t="s">
        <v>44</v>
      </c>
      <c r="V89" t="s">
        <v>48</v>
      </c>
      <c r="W89" t="s">
        <v>44</v>
      </c>
      <c r="X89">
        <v>20</v>
      </c>
      <c r="Y89">
        <v>95</v>
      </c>
      <c r="Z89">
        <v>8</v>
      </c>
      <c r="AA89">
        <v>500</v>
      </c>
      <c r="AB89" t="s">
        <v>69</v>
      </c>
      <c r="AC89" t="s">
        <v>50</v>
      </c>
      <c r="AD89">
        <v>2</v>
      </c>
      <c r="AE89">
        <v>7.1999999999999995E-2</v>
      </c>
      <c r="AF89">
        <v>0.42799999999999999</v>
      </c>
      <c r="AG89">
        <v>-1830</v>
      </c>
      <c r="AH89">
        <v>-2</v>
      </c>
      <c r="AI89">
        <v>0.23</v>
      </c>
      <c r="AJ89">
        <v>0.379</v>
      </c>
      <c r="AK89">
        <v>-1080</v>
      </c>
      <c r="AL89">
        <v>1800</v>
      </c>
      <c r="AM89" t="s">
        <v>44</v>
      </c>
      <c r="AN89">
        <v>3</v>
      </c>
      <c r="AO89" t="s">
        <v>62</v>
      </c>
      <c r="AP89">
        <v>1</v>
      </c>
      <c r="AQ89">
        <v>233</v>
      </c>
    </row>
    <row r="90" spans="1:43" x14ac:dyDescent="0.2">
      <c r="A90" t="s">
        <v>59</v>
      </c>
      <c r="B90" t="s">
        <v>60</v>
      </c>
      <c r="C90">
        <v>43.1</v>
      </c>
      <c r="D90" t="s">
        <v>44</v>
      </c>
      <c r="G90" t="s">
        <v>44</v>
      </c>
      <c r="H90">
        <v>3</v>
      </c>
      <c r="I90" t="s">
        <v>45</v>
      </c>
      <c r="J90" t="s">
        <v>46</v>
      </c>
      <c r="K90">
        <v>265.5</v>
      </c>
      <c r="L90">
        <v>0.4</v>
      </c>
      <c r="M90" t="s">
        <v>47</v>
      </c>
      <c r="N90" t="s">
        <v>61</v>
      </c>
      <c r="O90">
        <v>0.1</v>
      </c>
      <c r="P90" t="s">
        <v>44</v>
      </c>
      <c r="Q90" t="s">
        <v>44</v>
      </c>
      <c r="R90">
        <v>3.4</v>
      </c>
      <c r="S90" s="5">
        <f t="shared" si="1"/>
        <v>46.2</v>
      </c>
      <c r="T90">
        <v>9.5</v>
      </c>
      <c r="U90" t="s">
        <v>44</v>
      </c>
      <c r="V90" t="s">
        <v>48</v>
      </c>
      <c r="W90" t="s">
        <v>44</v>
      </c>
      <c r="X90">
        <v>20</v>
      </c>
      <c r="Y90">
        <v>95</v>
      </c>
      <c r="Z90">
        <v>8</v>
      </c>
      <c r="AA90">
        <v>500</v>
      </c>
      <c r="AB90" t="s">
        <v>49</v>
      </c>
      <c r="AC90" t="s">
        <v>52</v>
      </c>
      <c r="AD90">
        <v>1</v>
      </c>
      <c r="AE90">
        <v>0.10199999999999999</v>
      </c>
      <c r="AF90">
        <v>0.35799999999999998</v>
      </c>
      <c r="AG90">
        <v>-365</v>
      </c>
      <c r="AH90">
        <v>-1</v>
      </c>
      <c r="AI90">
        <v>0.18099999999999999</v>
      </c>
      <c r="AJ90">
        <v>0.33200000000000002</v>
      </c>
      <c r="AK90">
        <v>-340</v>
      </c>
      <c r="AL90">
        <v>1800</v>
      </c>
      <c r="AM90" t="s">
        <v>44</v>
      </c>
      <c r="AN90">
        <v>3</v>
      </c>
      <c r="AO90" t="s">
        <v>62</v>
      </c>
      <c r="AP90">
        <v>1</v>
      </c>
      <c r="AQ90">
        <v>243</v>
      </c>
    </row>
    <row r="91" spans="1:43" x14ac:dyDescent="0.2">
      <c r="A91" t="s">
        <v>63</v>
      </c>
      <c r="B91" t="s">
        <v>64</v>
      </c>
      <c r="C91">
        <v>228.29</v>
      </c>
      <c r="D91" t="s">
        <v>44</v>
      </c>
      <c r="G91" t="s">
        <v>44</v>
      </c>
      <c r="H91">
        <v>1</v>
      </c>
      <c r="I91" t="s">
        <v>45</v>
      </c>
      <c r="J91" t="s">
        <v>46</v>
      </c>
      <c r="K91">
        <v>265.5</v>
      </c>
      <c r="L91">
        <v>0.15</v>
      </c>
      <c r="M91" t="s">
        <v>47</v>
      </c>
      <c r="N91" t="s">
        <v>44</v>
      </c>
      <c r="O91" t="s">
        <v>44</v>
      </c>
      <c r="P91" t="s">
        <v>44</v>
      </c>
      <c r="Q91" t="s">
        <v>44</v>
      </c>
      <c r="R91">
        <v>1.1499999999999999</v>
      </c>
      <c r="S91" s="5">
        <f t="shared" si="1"/>
        <v>7.75</v>
      </c>
      <c r="T91" t="s">
        <v>44</v>
      </c>
      <c r="U91" t="s">
        <v>44</v>
      </c>
      <c r="V91" t="s">
        <v>48</v>
      </c>
      <c r="W91" t="s">
        <v>44</v>
      </c>
      <c r="X91" t="s">
        <v>44</v>
      </c>
      <c r="Y91" t="s">
        <v>44</v>
      </c>
      <c r="Z91">
        <v>3.1</v>
      </c>
      <c r="AA91">
        <v>5.8659999999999997</v>
      </c>
      <c r="AB91" t="s">
        <v>49</v>
      </c>
      <c r="AC91" t="s">
        <v>52</v>
      </c>
      <c r="AD91">
        <v>1</v>
      </c>
      <c r="AE91">
        <v>0.10199999999999999</v>
      </c>
      <c r="AF91">
        <v>0.35799999999999998</v>
      </c>
      <c r="AG91">
        <v>-365</v>
      </c>
      <c r="AH91">
        <v>-1</v>
      </c>
      <c r="AI91">
        <v>0.18099999999999999</v>
      </c>
      <c r="AJ91">
        <v>0.33200000000000002</v>
      </c>
      <c r="AK91">
        <v>-340</v>
      </c>
      <c r="AL91">
        <v>30</v>
      </c>
      <c r="AM91" t="s">
        <v>44</v>
      </c>
      <c r="AN91">
        <v>3</v>
      </c>
      <c r="AO91" t="s">
        <v>65</v>
      </c>
      <c r="AP91">
        <v>1</v>
      </c>
      <c r="AQ91">
        <v>318</v>
      </c>
    </row>
    <row r="92" spans="1:43" x14ac:dyDescent="0.2">
      <c r="A92" t="s">
        <v>63</v>
      </c>
      <c r="B92" t="s">
        <v>64</v>
      </c>
      <c r="C92">
        <v>228.29</v>
      </c>
      <c r="D92" t="s">
        <v>44</v>
      </c>
      <c r="G92" t="s">
        <v>44</v>
      </c>
      <c r="H92">
        <v>1</v>
      </c>
      <c r="I92" t="s">
        <v>45</v>
      </c>
      <c r="J92" t="s">
        <v>46</v>
      </c>
      <c r="K92">
        <v>265.5</v>
      </c>
      <c r="L92">
        <v>0.15</v>
      </c>
      <c r="M92" t="s">
        <v>47</v>
      </c>
      <c r="N92" t="s">
        <v>44</v>
      </c>
      <c r="O92" t="s">
        <v>44</v>
      </c>
      <c r="P92" t="s">
        <v>44</v>
      </c>
      <c r="Q92" t="s">
        <v>44</v>
      </c>
      <c r="R92">
        <v>1.1499999999999999</v>
      </c>
      <c r="S92" s="5">
        <f t="shared" si="1"/>
        <v>7.75</v>
      </c>
      <c r="T92" t="s">
        <v>44</v>
      </c>
      <c r="U92" t="s">
        <v>44</v>
      </c>
      <c r="V92" t="s">
        <v>48</v>
      </c>
      <c r="W92" t="s">
        <v>44</v>
      </c>
      <c r="X92" t="s">
        <v>44</v>
      </c>
      <c r="Y92" t="s">
        <v>44</v>
      </c>
      <c r="Z92">
        <v>4.4800000000000004</v>
      </c>
      <c r="AA92">
        <v>5.8659999999999997</v>
      </c>
      <c r="AB92" t="s">
        <v>49</v>
      </c>
      <c r="AC92" t="s">
        <v>52</v>
      </c>
      <c r="AD92">
        <v>1</v>
      </c>
      <c r="AE92">
        <v>0.10199999999999999</v>
      </c>
      <c r="AF92">
        <v>0.35799999999999998</v>
      </c>
      <c r="AG92">
        <v>-365</v>
      </c>
      <c r="AH92">
        <v>-1</v>
      </c>
      <c r="AI92">
        <v>0.18099999999999999</v>
      </c>
      <c r="AJ92">
        <v>0.33200000000000002</v>
      </c>
      <c r="AK92">
        <v>-340</v>
      </c>
      <c r="AL92">
        <v>30</v>
      </c>
      <c r="AM92" t="s">
        <v>44</v>
      </c>
      <c r="AN92">
        <v>3</v>
      </c>
      <c r="AO92" t="s">
        <v>65</v>
      </c>
      <c r="AP92">
        <v>1</v>
      </c>
      <c r="AQ92">
        <v>319</v>
      </c>
    </row>
    <row r="93" spans="1:43" x14ac:dyDescent="0.2">
      <c r="A93" t="s">
        <v>89</v>
      </c>
      <c r="B93" t="s">
        <v>90</v>
      </c>
      <c r="C93">
        <v>136.15</v>
      </c>
      <c r="D93" t="s">
        <v>44</v>
      </c>
      <c r="G93" t="s">
        <v>44</v>
      </c>
      <c r="H93">
        <v>5</v>
      </c>
      <c r="I93" t="s">
        <v>45</v>
      </c>
      <c r="J93" t="s">
        <v>46</v>
      </c>
      <c r="K93">
        <v>265.5</v>
      </c>
      <c r="L93">
        <v>0.45600000000000002</v>
      </c>
      <c r="M93" t="s">
        <v>47</v>
      </c>
      <c r="N93" t="s">
        <v>44</v>
      </c>
      <c r="O93" t="s">
        <v>44</v>
      </c>
      <c r="P93" t="s">
        <v>91</v>
      </c>
      <c r="Q93" t="s">
        <v>44</v>
      </c>
      <c r="R93">
        <v>5.4560000000000004</v>
      </c>
      <c r="S93" s="5">
        <f t="shared" si="1"/>
        <v>21.38</v>
      </c>
      <c r="T93">
        <v>10</v>
      </c>
      <c r="U93" t="s">
        <v>44</v>
      </c>
      <c r="V93" t="s">
        <v>48</v>
      </c>
      <c r="W93" t="s">
        <v>44</v>
      </c>
      <c r="X93">
        <v>40</v>
      </c>
      <c r="Y93">
        <v>60</v>
      </c>
      <c r="Z93">
        <v>5</v>
      </c>
      <c r="AA93">
        <v>1000</v>
      </c>
      <c r="AB93" t="s">
        <v>49</v>
      </c>
      <c r="AC93" t="s">
        <v>50</v>
      </c>
      <c r="AD93">
        <v>1</v>
      </c>
      <c r="AE93">
        <v>0.10199999999999999</v>
      </c>
      <c r="AF93">
        <v>0.35799999999999998</v>
      </c>
      <c r="AG93">
        <v>-365</v>
      </c>
      <c r="AH93">
        <v>-2</v>
      </c>
      <c r="AI93">
        <v>0.23</v>
      </c>
      <c r="AJ93">
        <v>0.379</v>
      </c>
      <c r="AK93">
        <v>-1080</v>
      </c>
      <c r="AL93">
        <v>1200</v>
      </c>
      <c r="AM93" t="s">
        <v>44</v>
      </c>
      <c r="AN93">
        <v>3</v>
      </c>
      <c r="AO93" t="s">
        <v>92</v>
      </c>
      <c r="AP93">
        <v>1</v>
      </c>
      <c r="AQ93">
        <v>320</v>
      </c>
    </row>
    <row r="94" spans="1:43" x14ac:dyDescent="0.2">
      <c r="A94" t="s">
        <v>42</v>
      </c>
      <c r="B94" t="s">
        <v>43</v>
      </c>
      <c r="C94">
        <v>86.14</v>
      </c>
      <c r="D94" t="s">
        <v>135</v>
      </c>
      <c r="E94" t="s">
        <v>136</v>
      </c>
      <c r="F94">
        <v>152.15</v>
      </c>
      <c r="G94">
        <v>39</v>
      </c>
      <c r="H94">
        <v>1.95</v>
      </c>
      <c r="I94" t="s">
        <v>45</v>
      </c>
      <c r="J94" t="s">
        <v>46</v>
      </c>
      <c r="K94">
        <v>265.5</v>
      </c>
      <c r="L94">
        <v>0.153</v>
      </c>
      <c r="M94" t="s">
        <v>47</v>
      </c>
      <c r="N94" t="s">
        <v>44</v>
      </c>
      <c r="O94" t="s">
        <v>44</v>
      </c>
      <c r="P94" t="s">
        <v>44</v>
      </c>
      <c r="Q94" t="s">
        <v>44</v>
      </c>
      <c r="R94">
        <v>2.1030000000000002</v>
      </c>
      <c r="S94" s="5">
        <f t="shared" si="1"/>
        <v>38.86</v>
      </c>
      <c r="T94" t="s">
        <v>44</v>
      </c>
      <c r="U94" t="s">
        <v>44</v>
      </c>
      <c r="V94" t="s">
        <v>48</v>
      </c>
      <c r="W94" t="s">
        <v>44</v>
      </c>
      <c r="X94" t="s">
        <v>44</v>
      </c>
      <c r="Y94" t="s">
        <v>44</v>
      </c>
      <c r="Z94">
        <v>4.5</v>
      </c>
      <c r="AA94">
        <v>585</v>
      </c>
      <c r="AB94" t="s">
        <v>49</v>
      </c>
      <c r="AC94" t="s">
        <v>52</v>
      </c>
      <c r="AD94">
        <v>1</v>
      </c>
      <c r="AE94">
        <v>0.10199999999999999</v>
      </c>
      <c r="AF94">
        <v>0.35799999999999998</v>
      </c>
      <c r="AG94">
        <v>-365</v>
      </c>
      <c r="AH94">
        <v>-1</v>
      </c>
      <c r="AI94">
        <v>0.18099999999999999</v>
      </c>
      <c r="AJ94">
        <v>0.33200000000000002</v>
      </c>
      <c r="AK94">
        <v>-340</v>
      </c>
      <c r="AL94">
        <v>30</v>
      </c>
      <c r="AM94" t="s">
        <v>44</v>
      </c>
      <c r="AN94">
        <v>3</v>
      </c>
      <c r="AO94" t="s">
        <v>137</v>
      </c>
      <c r="AP94">
        <v>1</v>
      </c>
      <c r="AQ94">
        <v>321</v>
      </c>
    </row>
    <row r="95" spans="1:43" x14ac:dyDescent="0.2">
      <c r="A95" t="s">
        <v>42</v>
      </c>
      <c r="B95" t="s">
        <v>43</v>
      </c>
      <c r="C95">
        <v>86.14</v>
      </c>
      <c r="D95" t="s">
        <v>44</v>
      </c>
      <c r="G95" t="s">
        <v>44</v>
      </c>
      <c r="H95">
        <v>1</v>
      </c>
      <c r="I95" t="s">
        <v>45</v>
      </c>
      <c r="J95" t="s">
        <v>46</v>
      </c>
      <c r="K95">
        <v>265.5</v>
      </c>
      <c r="L95">
        <v>0.192</v>
      </c>
      <c r="M95" t="s">
        <v>98</v>
      </c>
      <c r="N95" t="s">
        <v>44</v>
      </c>
      <c r="O95" t="s">
        <v>44</v>
      </c>
      <c r="P95" t="s">
        <v>44</v>
      </c>
      <c r="Q95" t="s">
        <v>44</v>
      </c>
      <c r="R95">
        <v>1.1919999999999999</v>
      </c>
      <c r="S95" s="5">
        <f t="shared" si="1"/>
        <v>16.05</v>
      </c>
      <c r="T95" t="s">
        <v>44</v>
      </c>
      <c r="U95" t="s">
        <v>44</v>
      </c>
      <c r="V95" t="s">
        <v>48</v>
      </c>
      <c r="W95" t="s">
        <v>44</v>
      </c>
      <c r="X95">
        <v>30</v>
      </c>
      <c r="Y95">
        <v>70</v>
      </c>
      <c r="Z95">
        <v>6</v>
      </c>
      <c r="AA95">
        <v>142</v>
      </c>
      <c r="AB95" t="s">
        <v>49</v>
      </c>
      <c r="AC95" t="s">
        <v>50</v>
      </c>
      <c r="AD95">
        <v>1</v>
      </c>
      <c r="AE95">
        <v>0.10199999999999999</v>
      </c>
      <c r="AF95">
        <v>0.35799999999999998</v>
      </c>
      <c r="AG95">
        <v>-365</v>
      </c>
      <c r="AH95">
        <v>-2</v>
      </c>
      <c r="AI95">
        <v>0.23</v>
      </c>
      <c r="AJ95">
        <v>0.379</v>
      </c>
      <c r="AK95">
        <v>-1080</v>
      </c>
      <c r="AL95">
        <v>60</v>
      </c>
      <c r="AM95" t="s">
        <v>44</v>
      </c>
      <c r="AN95">
        <v>3</v>
      </c>
      <c r="AO95" t="s">
        <v>148</v>
      </c>
      <c r="AP95">
        <v>1</v>
      </c>
      <c r="AQ95">
        <v>324</v>
      </c>
    </row>
    <row r="96" spans="1:43" x14ac:dyDescent="0.2">
      <c r="A96" t="s">
        <v>42</v>
      </c>
      <c r="B96" t="s">
        <v>43</v>
      </c>
      <c r="C96">
        <v>86.14</v>
      </c>
      <c r="D96" t="s">
        <v>44</v>
      </c>
      <c r="G96" t="s">
        <v>44</v>
      </c>
      <c r="H96">
        <v>1</v>
      </c>
      <c r="I96" t="s">
        <v>45</v>
      </c>
      <c r="J96" t="s">
        <v>46</v>
      </c>
      <c r="K96">
        <v>265.5</v>
      </c>
      <c r="L96">
        <v>0.192</v>
      </c>
      <c r="M96" t="s">
        <v>98</v>
      </c>
      <c r="N96" t="s">
        <v>44</v>
      </c>
      <c r="O96" t="s">
        <v>44</v>
      </c>
      <c r="P96" t="s">
        <v>44</v>
      </c>
      <c r="Q96" t="s">
        <v>44</v>
      </c>
      <c r="R96">
        <v>1.1919999999999999</v>
      </c>
      <c r="S96" s="5">
        <f t="shared" si="1"/>
        <v>16.05</v>
      </c>
      <c r="T96" t="s">
        <v>44</v>
      </c>
      <c r="U96" t="s">
        <v>44</v>
      </c>
      <c r="V96" t="s">
        <v>48</v>
      </c>
      <c r="W96" t="s">
        <v>44</v>
      </c>
      <c r="X96">
        <v>30</v>
      </c>
      <c r="Y96">
        <v>70</v>
      </c>
      <c r="Z96">
        <v>6</v>
      </c>
      <c r="AA96">
        <v>120</v>
      </c>
      <c r="AB96" t="s">
        <v>69</v>
      </c>
      <c r="AC96" t="s">
        <v>50</v>
      </c>
      <c r="AD96">
        <v>2</v>
      </c>
      <c r="AE96">
        <v>7.1999999999999995E-2</v>
      </c>
      <c r="AF96">
        <v>0.42799999999999999</v>
      </c>
      <c r="AG96">
        <v>-1830</v>
      </c>
      <c r="AH96">
        <v>-2</v>
      </c>
      <c r="AI96">
        <v>0.23</v>
      </c>
      <c r="AJ96">
        <v>0.379</v>
      </c>
      <c r="AK96">
        <v>-1080</v>
      </c>
      <c r="AL96">
        <v>60</v>
      </c>
      <c r="AM96" t="s">
        <v>44</v>
      </c>
      <c r="AN96">
        <v>3</v>
      </c>
      <c r="AO96" t="s">
        <v>148</v>
      </c>
      <c r="AP96">
        <v>1</v>
      </c>
      <c r="AQ96">
        <v>325</v>
      </c>
    </row>
    <row r="97" spans="1:43" x14ac:dyDescent="0.2">
      <c r="A97" t="s">
        <v>42</v>
      </c>
      <c r="B97" t="s">
        <v>43</v>
      </c>
      <c r="C97">
        <v>86.14</v>
      </c>
      <c r="D97" t="s">
        <v>44</v>
      </c>
      <c r="G97" t="s">
        <v>44</v>
      </c>
      <c r="H97">
        <v>1</v>
      </c>
      <c r="I97" t="s">
        <v>45</v>
      </c>
      <c r="J97" t="s">
        <v>46</v>
      </c>
      <c r="K97">
        <v>265.5</v>
      </c>
      <c r="L97">
        <v>0.192</v>
      </c>
      <c r="M97" t="s">
        <v>98</v>
      </c>
      <c r="N97" t="s">
        <v>44</v>
      </c>
      <c r="O97" t="s">
        <v>44</v>
      </c>
      <c r="P97" t="s">
        <v>44</v>
      </c>
      <c r="Q97" t="s">
        <v>44</v>
      </c>
      <c r="R97">
        <v>1.1919999999999999</v>
      </c>
      <c r="S97" s="5">
        <f t="shared" si="1"/>
        <v>16.05</v>
      </c>
      <c r="T97" t="s">
        <v>44</v>
      </c>
      <c r="U97" t="s">
        <v>44</v>
      </c>
      <c r="V97" t="s">
        <v>48</v>
      </c>
      <c r="W97" t="s">
        <v>44</v>
      </c>
      <c r="X97">
        <v>30</v>
      </c>
      <c r="Y97">
        <v>70</v>
      </c>
      <c r="Z97">
        <v>6</v>
      </c>
      <c r="AA97">
        <v>95</v>
      </c>
      <c r="AB97" t="s">
        <v>69</v>
      </c>
      <c r="AC97" t="s">
        <v>52</v>
      </c>
      <c r="AD97">
        <v>2</v>
      </c>
      <c r="AE97">
        <v>7.1999999999999995E-2</v>
      </c>
      <c r="AF97">
        <v>0.42799999999999999</v>
      </c>
      <c r="AG97">
        <v>-1830</v>
      </c>
      <c r="AH97">
        <v>-1</v>
      </c>
      <c r="AI97">
        <v>0.18099999999999999</v>
      </c>
      <c r="AJ97">
        <v>0.33200000000000002</v>
      </c>
      <c r="AK97">
        <v>-340</v>
      </c>
      <c r="AL97">
        <v>60</v>
      </c>
      <c r="AM97" t="s">
        <v>44</v>
      </c>
      <c r="AN97">
        <v>3</v>
      </c>
      <c r="AO97" t="s">
        <v>148</v>
      </c>
      <c r="AP97">
        <v>1</v>
      </c>
      <c r="AQ97">
        <v>326</v>
      </c>
    </row>
    <row r="98" spans="1:43" x14ac:dyDescent="0.2">
      <c r="A98" t="s">
        <v>42</v>
      </c>
      <c r="B98" t="s">
        <v>43</v>
      </c>
      <c r="C98">
        <v>86.14</v>
      </c>
      <c r="D98" t="s">
        <v>44</v>
      </c>
      <c r="G98" t="s">
        <v>44</v>
      </c>
      <c r="H98">
        <v>1</v>
      </c>
      <c r="I98" t="s">
        <v>45</v>
      </c>
      <c r="J98" t="s">
        <v>46</v>
      </c>
      <c r="K98">
        <v>265.5</v>
      </c>
      <c r="L98">
        <v>0.192</v>
      </c>
      <c r="M98" t="s">
        <v>98</v>
      </c>
      <c r="N98" t="s">
        <v>44</v>
      </c>
      <c r="O98" t="s">
        <v>44</v>
      </c>
      <c r="P98" t="s">
        <v>44</v>
      </c>
      <c r="Q98" t="s">
        <v>44</v>
      </c>
      <c r="R98">
        <v>1.1919999999999999</v>
      </c>
      <c r="S98" s="5">
        <f t="shared" si="1"/>
        <v>16.05</v>
      </c>
      <c r="T98" t="s">
        <v>44</v>
      </c>
      <c r="U98" t="s">
        <v>44</v>
      </c>
      <c r="V98" t="s">
        <v>48</v>
      </c>
      <c r="W98" t="s">
        <v>44</v>
      </c>
      <c r="X98">
        <v>30</v>
      </c>
      <c r="Y98">
        <v>70</v>
      </c>
      <c r="Z98">
        <v>6</v>
      </c>
      <c r="AA98">
        <v>115</v>
      </c>
      <c r="AB98" t="s">
        <v>49</v>
      </c>
      <c r="AC98" t="s">
        <v>52</v>
      </c>
      <c r="AD98">
        <v>1</v>
      </c>
      <c r="AE98">
        <v>0.10199999999999999</v>
      </c>
      <c r="AF98">
        <v>0.35799999999999998</v>
      </c>
      <c r="AG98">
        <v>-365</v>
      </c>
      <c r="AH98">
        <v>-1</v>
      </c>
      <c r="AI98">
        <v>0.18099999999999999</v>
      </c>
      <c r="AJ98">
        <v>0.33200000000000002</v>
      </c>
      <c r="AK98">
        <v>-340</v>
      </c>
      <c r="AL98">
        <v>60</v>
      </c>
      <c r="AM98" t="s">
        <v>44</v>
      </c>
      <c r="AN98">
        <v>3</v>
      </c>
      <c r="AO98" t="s">
        <v>148</v>
      </c>
      <c r="AP98">
        <v>1</v>
      </c>
      <c r="AQ98">
        <v>327</v>
      </c>
    </row>
    <row r="99" spans="1:43" x14ac:dyDescent="0.2">
      <c r="A99" t="s">
        <v>42</v>
      </c>
      <c r="B99" t="s">
        <v>43</v>
      </c>
      <c r="C99">
        <v>86.14</v>
      </c>
      <c r="D99" t="s">
        <v>44</v>
      </c>
      <c r="G99" t="s">
        <v>44</v>
      </c>
      <c r="H99">
        <v>1</v>
      </c>
      <c r="I99" t="s">
        <v>45</v>
      </c>
      <c r="J99" t="s">
        <v>46</v>
      </c>
      <c r="K99">
        <v>265.5</v>
      </c>
      <c r="L99">
        <v>0.15</v>
      </c>
      <c r="M99" t="s">
        <v>47</v>
      </c>
      <c r="N99" t="s">
        <v>44</v>
      </c>
      <c r="O99" t="s">
        <v>44</v>
      </c>
      <c r="P99" t="s">
        <v>44</v>
      </c>
      <c r="Q99" t="s">
        <v>44</v>
      </c>
      <c r="R99">
        <v>1.1499999999999999</v>
      </c>
      <c r="S99" s="5">
        <f t="shared" si="1"/>
        <v>20.55</v>
      </c>
      <c r="T99" t="s">
        <v>44</v>
      </c>
      <c r="U99" t="s">
        <v>44</v>
      </c>
      <c r="V99" t="s">
        <v>48</v>
      </c>
      <c r="W99" t="s">
        <v>44</v>
      </c>
      <c r="X99">
        <v>15</v>
      </c>
      <c r="Y99">
        <v>60</v>
      </c>
      <c r="Z99">
        <v>6</v>
      </c>
      <c r="AA99">
        <v>2000</v>
      </c>
      <c r="AB99" t="s">
        <v>69</v>
      </c>
      <c r="AC99" t="s">
        <v>52</v>
      </c>
      <c r="AD99">
        <v>2</v>
      </c>
      <c r="AE99">
        <v>7.1999999999999995E-2</v>
      </c>
      <c r="AF99">
        <v>0.42799999999999999</v>
      </c>
      <c r="AG99">
        <v>-1830</v>
      </c>
      <c r="AH99">
        <v>-1</v>
      </c>
      <c r="AI99">
        <v>0.18099999999999999</v>
      </c>
      <c r="AJ99">
        <v>0.33200000000000002</v>
      </c>
      <c r="AK99">
        <v>-340</v>
      </c>
      <c r="AL99">
        <v>60</v>
      </c>
      <c r="AM99" t="s">
        <v>44</v>
      </c>
      <c r="AN99">
        <v>3</v>
      </c>
      <c r="AO99" t="s">
        <v>139</v>
      </c>
      <c r="AP99">
        <v>1</v>
      </c>
      <c r="AQ99">
        <v>328</v>
      </c>
    </row>
    <row r="100" spans="1:43" x14ac:dyDescent="0.2">
      <c r="A100" t="s">
        <v>42</v>
      </c>
      <c r="B100" t="s">
        <v>43</v>
      </c>
      <c r="C100">
        <v>86.14</v>
      </c>
      <c r="D100" t="s">
        <v>71</v>
      </c>
      <c r="E100" t="s">
        <v>72</v>
      </c>
      <c r="F100">
        <v>101.19</v>
      </c>
      <c r="G100">
        <v>5</v>
      </c>
      <c r="H100">
        <v>2</v>
      </c>
      <c r="I100" t="s">
        <v>45</v>
      </c>
      <c r="J100" t="s">
        <v>46</v>
      </c>
      <c r="K100">
        <v>265.5</v>
      </c>
      <c r="L100">
        <v>0.45600000000000002</v>
      </c>
      <c r="M100" t="s">
        <v>47</v>
      </c>
      <c r="N100" t="s">
        <v>44</v>
      </c>
      <c r="O100" t="s">
        <v>44</v>
      </c>
      <c r="P100" t="s">
        <v>44</v>
      </c>
      <c r="Q100" t="s">
        <v>44</v>
      </c>
      <c r="R100">
        <v>2.456</v>
      </c>
      <c r="S100" s="5">
        <f t="shared" si="1"/>
        <v>13.18</v>
      </c>
      <c r="T100" t="s">
        <v>44</v>
      </c>
      <c r="U100" t="s">
        <v>131</v>
      </c>
      <c r="V100" t="s">
        <v>132</v>
      </c>
      <c r="W100">
        <v>0.38100000000000001</v>
      </c>
      <c r="X100">
        <v>2</v>
      </c>
      <c r="Y100">
        <v>70</v>
      </c>
      <c r="Z100">
        <v>10</v>
      </c>
      <c r="AA100">
        <v>1000</v>
      </c>
      <c r="AB100" t="s">
        <v>49</v>
      </c>
      <c r="AC100" t="s">
        <v>52</v>
      </c>
      <c r="AD100">
        <v>1</v>
      </c>
      <c r="AE100">
        <v>0.10199999999999999</v>
      </c>
      <c r="AF100">
        <v>0.35799999999999998</v>
      </c>
      <c r="AG100">
        <v>-365</v>
      </c>
      <c r="AH100">
        <v>-1</v>
      </c>
      <c r="AI100">
        <v>0.18099999999999999</v>
      </c>
      <c r="AJ100">
        <v>0.33200000000000002</v>
      </c>
      <c r="AK100">
        <v>-340</v>
      </c>
      <c r="AL100">
        <v>120</v>
      </c>
      <c r="AM100" t="s">
        <v>44</v>
      </c>
      <c r="AN100">
        <v>3</v>
      </c>
      <c r="AO100" t="s">
        <v>107</v>
      </c>
      <c r="AP100">
        <v>1</v>
      </c>
      <c r="AQ100">
        <v>329</v>
      </c>
    </row>
    <row r="101" spans="1:43" x14ac:dyDescent="0.2">
      <c r="A101" t="s">
        <v>42</v>
      </c>
      <c r="B101" t="s">
        <v>43</v>
      </c>
      <c r="C101">
        <v>86.14</v>
      </c>
      <c r="D101" t="s">
        <v>71</v>
      </c>
      <c r="E101" t="s">
        <v>72</v>
      </c>
      <c r="F101">
        <v>101.19</v>
      </c>
      <c r="G101">
        <v>5</v>
      </c>
      <c r="H101">
        <v>2</v>
      </c>
      <c r="I101" t="s">
        <v>45</v>
      </c>
      <c r="J101" t="s">
        <v>46</v>
      </c>
      <c r="K101">
        <v>265.5</v>
      </c>
      <c r="L101">
        <v>0.45600000000000002</v>
      </c>
      <c r="M101" t="s">
        <v>47</v>
      </c>
      <c r="N101" t="s">
        <v>44</v>
      </c>
      <c r="O101" t="s">
        <v>44</v>
      </c>
      <c r="P101" t="s">
        <v>44</v>
      </c>
      <c r="Q101" t="s">
        <v>44</v>
      </c>
      <c r="R101">
        <v>2.456</v>
      </c>
      <c r="S101" s="5">
        <f t="shared" si="1"/>
        <v>13.18</v>
      </c>
      <c r="T101" t="s">
        <v>44</v>
      </c>
      <c r="U101" t="s">
        <v>131</v>
      </c>
      <c r="V101" t="s">
        <v>132</v>
      </c>
      <c r="W101">
        <v>0.38100000000000001</v>
      </c>
      <c r="X101">
        <v>2</v>
      </c>
      <c r="Y101">
        <v>70</v>
      </c>
      <c r="Z101">
        <v>10</v>
      </c>
      <c r="AA101">
        <v>1000</v>
      </c>
      <c r="AB101" t="s">
        <v>69</v>
      </c>
      <c r="AC101" t="s">
        <v>52</v>
      </c>
      <c r="AD101">
        <v>2</v>
      </c>
      <c r="AE101">
        <v>7.1999999999999995E-2</v>
      </c>
      <c r="AF101">
        <v>0.42799999999999999</v>
      </c>
      <c r="AG101">
        <v>-1830</v>
      </c>
      <c r="AH101">
        <v>-1</v>
      </c>
      <c r="AI101">
        <v>0.18099999999999999</v>
      </c>
      <c r="AJ101">
        <v>0.33200000000000002</v>
      </c>
      <c r="AK101">
        <v>-340</v>
      </c>
      <c r="AL101">
        <v>120</v>
      </c>
      <c r="AM101" t="s">
        <v>44</v>
      </c>
      <c r="AN101">
        <v>3</v>
      </c>
      <c r="AO101" t="s">
        <v>107</v>
      </c>
      <c r="AP101">
        <v>1</v>
      </c>
      <c r="AQ101">
        <v>330</v>
      </c>
    </row>
    <row r="102" spans="1:43" x14ac:dyDescent="0.2">
      <c r="A102" t="s">
        <v>54</v>
      </c>
      <c r="B102" t="s">
        <v>55</v>
      </c>
      <c r="C102">
        <v>108.14</v>
      </c>
      <c r="D102" t="s">
        <v>44</v>
      </c>
      <c r="G102" t="s">
        <v>44</v>
      </c>
      <c r="H102">
        <v>0.5</v>
      </c>
      <c r="I102" t="s">
        <v>56</v>
      </c>
      <c r="J102" t="s">
        <v>57</v>
      </c>
      <c r="K102">
        <v>203.02</v>
      </c>
      <c r="L102">
        <v>0.1</v>
      </c>
      <c r="M102" t="s">
        <v>47</v>
      </c>
      <c r="N102" t="s">
        <v>44</v>
      </c>
      <c r="O102" t="s">
        <v>44</v>
      </c>
      <c r="P102" t="s">
        <v>44</v>
      </c>
      <c r="Q102" t="s">
        <v>44</v>
      </c>
      <c r="R102">
        <v>0.6</v>
      </c>
      <c r="S102" s="5">
        <f t="shared" si="1"/>
        <v>9.39</v>
      </c>
      <c r="T102" t="s">
        <v>44</v>
      </c>
      <c r="U102" t="s">
        <v>44</v>
      </c>
      <c r="V102" t="s">
        <v>48</v>
      </c>
      <c r="W102" t="s">
        <v>44</v>
      </c>
      <c r="X102">
        <v>5</v>
      </c>
      <c r="Y102">
        <v>80</v>
      </c>
      <c r="Z102">
        <v>10.3</v>
      </c>
      <c r="AA102">
        <v>2000</v>
      </c>
      <c r="AB102" t="s">
        <v>49</v>
      </c>
      <c r="AC102" t="s">
        <v>52</v>
      </c>
      <c r="AD102">
        <v>1</v>
      </c>
      <c r="AE102">
        <v>0.10199999999999999</v>
      </c>
      <c r="AF102">
        <v>0.35799999999999998</v>
      </c>
      <c r="AG102">
        <v>-365</v>
      </c>
      <c r="AH102">
        <v>-1</v>
      </c>
      <c r="AI102">
        <v>0.18099999999999999</v>
      </c>
      <c r="AJ102">
        <v>0.33200000000000002</v>
      </c>
      <c r="AK102">
        <v>-340</v>
      </c>
      <c r="AL102">
        <v>90</v>
      </c>
      <c r="AM102" t="s">
        <v>44</v>
      </c>
      <c r="AN102">
        <v>3.1</v>
      </c>
      <c r="AO102" t="s">
        <v>58</v>
      </c>
      <c r="AP102">
        <v>1</v>
      </c>
      <c r="AQ102">
        <v>3</v>
      </c>
    </row>
    <row r="103" spans="1:43" x14ac:dyDescent="0.2">
      <c r="A103" t="s">
        <v>42</v>
      </c>
      <c r="B103" t="s">
        <v>43</v>
      </c>
      <c r="C103">
        <v>86.14</v>
      </c>
      <c r="D103" t="s">
        <v>44</v>
      </c>
      <c r="G103" t="s">
        <v>44</v>
      </c>
      <c r="H103">
        <v>2</v>
      </c>
      <c r="I103" t="s">
        <v>45</v>
      </c>
      <c r="J103" t="s">
        <v>46</v>
      </c>
      <c r="K103">
        <v>265.5</v>
      </c>
      <c r="L103">
        <v>0.1</v>
      </c>
      <c r="M103" t="s">
        <v>47</v>
      </c>
      <c r="N103" t="s">
        <v>44</v>
      </c>
      <c r="O103" t="s">
        <v>44</v>
      </c>
      <c r="P103" t="s">
        <v>44</v>
      </c>
      <c r="Q103" t="s">
        <v>44</v>
      </c>
      <c r="R103">
        <v>2.1</v>
      </c>
      <c r="S103" s="5">
        <f t="shared" si="1"/>
        <v>61.64</v>
      </c>
      <c r="T103" t="s">
        <v>44</v>
      </c>
      <c r="U103" t="s">
        <v>44</v>
      </c>
      <c r="V103" t="s">
        <v>48</v>
      </c>
      <c r="W103" t="s">
        <v>44</v>
      </c>
      <c r="X103">
        <v>30</v>
      </c>
      <c r="Y103">
        <v>22</v>
      </c>
      <c r="Z103">
        <v>7</v>
      </c>
      <c r="AA103">
        <v>2000</v>
      </c>
      <c r="AB103" t="s">
        <v>69</v>
      </c>
      <c r="AC103" t="s">
        <v>50</v>
      </c>
      <c r="AD103">
        <v>2</v>
      </c>
      <c r="AE103">
        <v>7.1999999999999995E-2</v>
      </c>
      <c r="AF103">
        <v>0.42799999999999999</v>
      </c>
      <c r="AG103">
        <v>-1830</v>
      </c>
      <c r="AH103">
        <v>-2</v>
      </c>
      <c r="AI103">
        <v>0.23</v>
      </c>
      <c r="AJ103">
        <v>0.379</v>
      </c>
      <c r="AK103">
        <v>-1080</v>
      </c>
      <c r="AL103">
        <v>30</v>
      </c>
      <c r="AM103" t="s">
        <v>44</v>
      </c>
      <c r="AN103">
        <v>3.1</v>
      </c>
      <c r="AO103" t="s">
        <v>124</v>
      </c>
      <c r="AP103">
        <v>1</v>
      </c>
      <c r="AQ103">
        <v>314</v>
      </c>
    </row>
    <row r="104" spans="1:43" x14ac:dyDescent="0.2">
      <c r="A104" t="s">
        <v>42</v>
      </c>
      <c r="B104" t="s">
        <v>43</v>
      </c>
      <c r="C104">
        <v>86.14</v>
      </c>
      <c r="D104" t="s">
        <v>135</v>
      </c>
      <c r="E104" t="s">
        <v>136</v>
      </c>
      <c r="F104">
        <v>152.15</v>
      </c>
      <c r="G104">
        <v>39</v>
      </c>
      <c r="H104">
        <v>1.95</v>
      </c>
      <c r="I104" t="s">
        <v>45</v>
      </c>
      <c r="J104" t="s">
        <v>46</v>
      </c>
      <c r="K104">
        <v>265.5</v>
      </c>
      <c r="L104">
        <v>3.06</v>
      </c>
      <c r="M104" t="s">
        <v>47</v>
      </c>
      <c r="N104" t="s">
        <v>44</v>
      </c>
      <c r="O104" t="s">
        <v>44</v>
      </c>
      <c r="P104" t="s">
        <v>44</v>
      </c>
      <c r="Q104" t="s">
        <v>44</v>
      </c>
      <c r="R104">
        <v>5.01</v>
      </c>
      <c r="S104" s="5">
        <f t="shared" si="1"/>
        <v>1.94</v>
      </c>
      <c r="T104" t="s">
        <v>44</v>
      </c>
      <c r="U104" t="s">
        <v>44</v>
      </c>
      <c r="V104" t="s">
        <v>48</v>
      </c>
      <c r="W104" t="s">
        <v>44</v>
      </c>
      <c r="X104" t="s">
        <v>44</v>
      </c>
      <c r="Y104" t="s">
        <v>44</v>
      </c>
      <c r="Z104">
        <v>4.5</v>
      </c>
      <c r="AA104">
        <v>585</v>
      </c>
      <c r="AB104" t="s">
        <v>49</v>
      </c>
      <c r="AC104" t="s">
        <v>52</v>
      </c>
      <c r="AD104">
        <v>1</v>
      </c>
      <c r="AE104">
        <v>0.10199999999999999</v>
      </c>
      <c r="AF104">
        <v>0.35799999999999998</v>
      </c>
      <c r="AG104">
        <v>-365</v>
      </c>
      <c r="AH104">
        <v>-1</v>
      </c>
      <c r="AI104">
        <v>0.18099999999999999</v>
      </c>
      <c r="AJ104">
        <v>0.33200000000000002</v>
      </c>
      <c r="AK104">
        <v>-340</v>
      </c>
      <c r="AL104">
        <v>5</v>
      </c>
      <c r="AM104" t="s">
        <v>44</v>
      </c>
      <c r="AN104">
        <v>3.1</v>
      </c>
      <c r="AO104" t="s">
        <v>137</v>
      </c>
      <c r="AP104">
        <v>1</v>
      </c>
      <c r="AQ104">
        <v>315</v>
      </c>
    </row>
    <row r="105" spans="1:43" x14ac:dyDescent="0.2">
      <c r="A105" t="s">
        <v>42</v>
      </c>
      <c r="B105" t="s">
        <v>43</v>
      </c>
      <c r="C105">
        <v>86.14</v>
      </c>
      <c r="D105" t="s">
        <v>135</v>
      </c>
      <c r="E105" t="s">
        <v>136</v>
      </c>
      <c r="F105">
        <v>152.15</v>
      </c>
      <c r="G105">
        <v>39</v>
      </c>
      <c r="H105">
        <v>1.95</v>
      </c>
      <c r="I105" t="s">
        <v>45</v>
      </c>
      <c r="J105" t="s">
        <v>46</v>
      </c>
      <c r="K105">
        <v>265.5</v>
      </c>
      <c r="L105">
        <v>0.153</v>
      </c>
      <c r="M105" t="s">
        <v>47</v>
      </c>
      <c r="N105" t="s">
        <v>44</v>
      </c>
      <c r="O105" t="s">
        <v>44</v>
      </c>
      <c r="P105" t="s">
        <v>44</v>
      </c>
      <c r="Q105" t="s">
        <v>44</v>
      </c>
      <c r="R105">
        <v>2.1030000000000002</v>
      </c>
      <c r="S105" s="5">
        <f t="shared" si="1"/>
        <v>38.86</v>
      </c>
      <c r="T105" t="s">
        <v>44</v>
      </c>
      <c r="U105" t="s">
        <v>44</v>
      </c>
      <c r="V105" t="s">
        <v>48</v>
      </c>
      <c r="W105" t="s">
        <v>44</v>
      </c>
      <c r="X105" t="s">
        <v>44</v>
      </c>
      <c r="Y105" t="s">
        <v>44</v>
      </c>
      <c r="Z105">
        <v>4.5</v>
      </c>
      <c r="AA105">
        <v>100</v>
      </c>
      <c r="AB105" t="s">
        <v>127</v>
      </c>
      <c r="AC105" t="s">
        <v>50</v>
      </c>
      <c r="AD105">
        <v>2</v>
      </c>
      <c r="AE105">
        <v>7.2999999999999995E-2</v>
      </c>
      <c r="AF105">
        <v>0.41899999999999998</v>
      </c>
      <c r="AG105">
        <v>-2010</v>
      </c>
      <c r="AH105">
        <v>-2</v>
      </c>
      <c r="AI105">
        <v>0.23</v>
      </c>
      <c r="AJ105">
        <v>0.379</v>
      </c>
      <c r="AK105">
        <v>-1080</v>
      </c>
      <c r="AL105">
        <v>30</v>
      </c>
      <c r="AM105" t="s">
        <v>44</v>
      </c>
      <c r="AN105">
        <v>3.1</v>
      </c>
      <c r="AO105" t="s">
        <v>137</v>
      </c>
      <c r="AP105">
        <v>1</v>
      </c>
      <c r="AQ105">
        <v>316</v>
      </c>
    </row>
    <row r="106" spans="1:43" x14ac:dyDescent="0.2">
      <c r="A106" t="s">
        <v>42</v>
      </c>
      <c r="B106" t="s">
        <v>43</v>
      </c>
      <c r="C106">
        <v>86.14</v>
      </c>
      <c r="D106" t="s">
        <v>44</v>
      </c>
      <c r="G106" t="s">
        <v>44</v>
      </c>
      <c r="H106">
        <v>0.35</v>
      </c>
      <c r="I106" t="s">
        <v>45</v>
      </c>
      <c r="J106" t="s">
        <v>46</v>
      </c>
      <c r="K106">
        <v>265.5</v>
      </c>
      <c r="L106">
        <v>0.15</v>
      </c>
      <c r="M106" t="s">
        <v>47</v>
      </c>
      <c r="N106" t="s">
        <v>44</v>
      </c>
      <c r="O106" t="s">
        <v>44</v>
      </c>
      <c r="P106" t="s">
        <v>44</v>
      </c>
      <c r="Q106" t="s">
        <v>44</v>
      </c>
      <c r="R106">
        <v>0.5</v>
      </c>
      <c r="S106" s="5">
        <f t="shared" si="1"/>
        <v>7.19</v>
      </c>
      <c r="T106" t="s">
        <v>44</v>
      </c>
      <c r="U106" t="s">
        <v>44</v>
      </c>
      <c r="V106" t="s">
        <v>48</v>
      </c>
      <c r="W106" t="s">
        <v>44</v>
      </c>
      <c r="X106">
        <v>20</v>
      </c>
      <c r="Y106">
        <v>50</v>
      </c>
      <c r="Z106">
        <v>6</v>
      </c>
      <c r="AA106">
        <v>3000</v>
      </c>
      <c r="AB106" t="s">
        <v>49</v>
      </c>
      <c r="AC106" t="s">
        <v>52</v>
      </c>
      <c r="AD106">
        <v>1</v>
      </c>
      <c r="AE106">
        <v>0.10199999999999999</v>
      </c>
      <c r="AF106">
        <v>0.35799999999999998</v>
      </c>
      <c r="AG106">
        <v>-365</v>
      </c>
      <c r="AH106">
        <v>-1</v>
      </c>
      <c r="AI106">
        <v>0.18099999999999999</v>
      </c>
      <c r="AJ106">
        <v>0.33200000000000002</v>
      </c>
      <c r="AK106">
        <v>-340</v>
      </c>
      <c r="AL106">
        <v>120</v>
      </c>
      <c r="AM106" t="s">
        <v>44</v>
      </c>
      <c r="AN106">
        <v>3.1</v>
      </c>
      <c r="AO106" t="s">
        <v>114</v>
      </c>
      <c r="AP106">
        <v>1</v>
      </c>
      <c r="AQ106">
        <v>317</v>
      </c>
    </row>
    <row r="107" spans="1:43" x14ac:dyDescent="0.2">
      <c r="A107" t="s">
        <v>42</v>
      </c>
      <c r="B107" t="s">
        <v>43</v>
      </c>
      <c r="C107">
        <v>86.14</v>
      </c>
      <c r="D107" t="s">
        <v>44</v>
      </c>
      <c r="G107" t="s">
        <v>44</v>
      </c>
      <c r="H107">
        <v>2</v>
      </c>
      <c r="I107" t="s">
        <v>45</v>
      </c>
      <c r="J107" t="s">
        <v>46</v>
      </c>
      <c r="K107">
        <v>265.5</v>
      </c>
      <c r="L107">
        <v>0.1</v>
      </c>
      <c r="M107" t="s">
        <v>47</v>
      </c>
      <c r="N107" t="s">
        <v>44</v>
      </c>
      <c r="O107" t="s">
        <v>44</v>
      </c>
      <c r="P107" t="s">
        <v>44</v>
      </c>
      <c r="Q107" t="s">
        <v>44</v>
      </c>
      <c r="R107">
        <v>2.1</v>
      </c>
      <c r="S107" s="5">
        <f t="shared" si="1"/>
        <v>61.64</v>
      </c>
      <c r="T107" t="s">
        <v>44</v>
      </c>
      <c r="U107" t="s">
        <v>44</v>
      </c>
      <c r="V107" t="s">
        <v>48</v>
      </c>
      <c r="W107" t="s">
        <v>44</v>
      </c>
      <c r="X107">
        <v>30</v>
      </c>
      <c r="Y107">
        <v>22</v>
      </c>
      <c r="Z107">
        <v>7</v>
      </c>
      <c r="AA107">
        <v>2000</v>
      </c>
      <c r="AB107" t="s">
        <v>49</v>
      </c>
      <c r="AC107" t="s">
        <v>50</v>
      </c>
      <c r="AD107">
        <v>1</v>
      </c>
      <c r="AE107">
        <v>0.10199999999999999</v>
      </c>
      <c r="AF107">
        <v>0.35799999999999998</v>
      </c>
      <c r="AG107">
        <v>-365</v>
      </c>
      <c r="AH107">
        <v>-2</v>
      </c>
      <c r="AI107">
        <v>0.23</v>
      </c>
      <c r="AJ107">
        <v>0.379</v>
      </c>
      <c r="AK107">
        <v>-1080</v>
      </c>
      <c r="AL107">
        <v>30</v>
      </c>
      <c r="AM107" t="s">
        <v>44</v>
      </c>
      <c r="AN107">
        <v>3.2</v>
      </c>
      <c r="AO107" t="s">
        <v>124</v>
      </c>
      <c r="AP107">
        <v>1</v>
      </c>
      <c r="AQ107">
        <v>309</v>
      </c>
    </row>
    <row r="108" spans="1:43" x14ac:dyDescent="0.2">
      <c r="A108" t="s">
        <v>42</v>
      </c>
      <c r="B108" t="s">
        <v>43</v>
      </c>
      <c r="C108">
        <v>86.14</v>
      </c>
      <c r="D108" t="s">
        <v>135</v>
      </c>
      <c r="E108" t="s">
        <v>136</v>
      </c>
      <c r="F108">
        <v>152.15</v>
      </c>
      <c r="G108">
        <v>39</v>
      </c>
      <c r="H108">
        <v>1.95</v>
      </c>
      <c r="I108" t="s">
        <v>45</v>
      </c>
      <c r="J108" t="s">
        <v>46</v>
      </c>
      <c r="K108">
        <v>265.5</v>
      </c>
      <c r="L108">
        <v>0.22900000000000001</v>
      </c>
      <c r="M108" t="s">
        <v>47</v>
      </c>
      <c r="N108" t="s">
        <v>44</v>
      </c>
      <c r="O108" t="s">
        <v>44</v>
      </c>
      <c r="P108" t="s">
        <v>44</v>
      </c>
      <c r="Q108" t="s">
        <v>44</v>
      </c>
      <c r="R108">
        <v>2.1789999999999998</v>
      </c>
      <c r="S108" s="5">
        <f t="shared" si="1"/>
        <v>25.96</v>
      </c>
      <c r="T108" t="s">
        <v>44</v>
      </c>
      <c r="U108" t="s">
        <v>44</v>
      </c>
      <c r="V108" t="s">
        <v>48</v>
      </c>
      <c r="W108" t="s">
        <v>44</v>
      </c>
      <c r="X108" t="s">
        <v>44</v>
      </c>
      <c r="Y108" t="s">
        <v>44</v>
      </c>
      <c r="Z108">
        <v>4.5</v>
      </c>
      <c r="AA108">
        <v>585</v>
      </c>
      <c r="AB108" t="s">
        <v>49</v>
      </c>
      <c r="AC108" t="s">
        <v>52</v>
      </c>
      <c r="AD108">
        <v>1</v>
      </c>
      <c r="AE108">
        <v>0.10199999999999999</v>
      </c>
      <c r="AF108">
        <v>0.35799999999999998</v>
      </c>
      <c r="AG108">
        <v>-365</v>
      </c>
      <c r="AH108">
        <v>-1</v>
      </c>
      <c r="AI108">
        <v>0.18099999999999999</v>
      </c>
      <c r="AJ108">
        <v>0.33200000000000002</v>
      </c>
      <c r="AK108">
        <v>-340</v>
      </c>
      <c r="AL108">
        <v>5</v>
      </c>
      <c r="AM108" t="s">
        <v>44</v>
      </c>
      <c r="AN108">
        <v>3.2</v>
      </c>
      <c r="AO108" t="s">
        <v>137</v>
      </c>
      <c r="AP108">
        <v>1</v>
      </c>
      <c r="AQ108">
        <v>310</v>
      </c>
    </row>
    <row r="109" spans="1:43" x14ac:dyDescent="0.2">
      <c r="A109" t="s">
        <v>42</v>
      </c>
      <c r="B109" t="s">
        <v>43</v>
      </c>
      <c r="C109">
        <v>86.14</v>
      </c>
      <c r="D109" t="s">
        <v>135</v>
      </c>
      <c r="E109" t="s">
        <v>136</v>
      </c>
      <c r="F109">
        <v>152.15</v>
      </c>
      <c r="G109">
        <v>39</v>
      </c>
      <c r="H109">
        <v>1.95</v>
      </c>
      <c r="I109" t="s">
        <v>45</v>
      </c>
      <c r="J109" t="s">
        <v>46</v>
      </c>
      <c r="K109">
        <v>265.5</v>
      </c>
      <c r="L109">
        <v>3.06</v>
      </c>
      <c r="M109" t="s">
        <v>47</v>
      </c>
      <c r="N109" t="s">
        <v>44</v>
      </c>
      <c r="O109" t="s">
        <v>44</v>
      </c>
      <c r="P109" t="s">
        <v>44</v>
      </c>
      <c r="Q109" t="s">
        <v>44</v>
      </c>
      <c r="R109">
        <v>5.01</v>
      </c>
      <c r="S109" s="5">
        <f t="shared" si="1"/>
        <v>1.94</v>
      </c>
      <c r="T109" t="s">
        <v>44</v>
      </c>
      <c r="U109" t="s">
        <v>44</v>
      </c>
      <c r="V109" t="s">
        <v>48</v>
      </c>
      <c r="W109" t="s">
        <v>44</v>
      </c>
      <c r="X109" t="s">
        <v>44</v>
      </c>
      <c r="Y109" t="s">
        <v>44</v>
      </c>
      <c r="Z109">
        <v>4.5</v>
      </c>
      <c r="AA109">
        <v>100</v>
      </c>
      <c r="AB109" t="s">
        <v>127</v>
      </c>
      <c r="AC109" t="s">
        <v>50</v>
      </c>
      <c r="AD109">
        <v>2</v>
      </c>
      <c r="AE109">
        <v>7.2999999999999995E-2</v>
      </c>
      <c r="AF109">
        <v>0.41899999999999998</v>
      </c>
      <c r="AG109">
        <v>-2010</v>
      </c>
      <c r="AH109">
        <v>-2</v>
      </c>
      <c r="AI109">
        <v>0.23</v>
      </c>
      <c r="AJ109">
        <v>0.379</v>
      </c>
      <c r="AK109">
        <v>-1080</v>
      </c>
      <c r="AL109">
        <v>5</v>
      </c>
      <c r="AM109" t="s">
        <v>44</v>
      </c>
      <c r="AN109">
        <v>3.2</v>
      </c>
      <c r="AO109" t="s">
        <v>137</v>
      </c>
      <c r="AP109">
        <v>1</v>
      </c>
      <c r="AQ109">
        <v>311</v>
      </c>
    </row>
    <row r="110" spans="1:43" x14ac:dyDescent="0.2">
      <c r="A110" t="s">
        <v>146</v>
      </c>
      <c r="B110" t="s">
        <v>147</v>
      </c>
      <c r="C110">
        <v>129.19900000000001</v>
      </c>
      <c r="D110" t="s">
        <v>44</v>
      </c>
      <c r="G110" t="s">
        <v>44</v>
      </c>
      <c r="H110">
        <v>1</v>
      </c>
      <c r="I110" t="s">
        <v>45</v>
      </c>
      <c r="J110" t="s">
        <v>46</v>
      </c>
      <c r="K110">
        <v>265.5</v>
      </c>
      <c r="L110">
        <v>0.13</v>
      </c>
      <c r="M110" t="s">
        <v>98</v>
      </c>
      <c r="N110" t="s">
        <v>44</v>
      </c>
      <c r="O110" t="s">
        <v>44</v>
      </c>
      <c r="P110" t="s">
        <v>44</v>
      </c>
      <c r="Q110" t="s">
        <v>44</v>
      </c>
      <c r="R110">
        <v>1.1299999999999999</v>
      </c>
      <c r="S110" s="5">
        <f t="shared" si="1"/>
        <v>15.81</v>
      </c>
      <c r="T110" t="s">
        <v>44</v>
      </c>
      <c r="U110" t="s">
        <v>44</v>
      </c>
      <c r="V110" t="s">
        <v>48</v>
      </c>
      <c r="W110" t="s">
        <v>44</v>
      </c>
      <c r="X110" t="s">
        <v>44</v>
      </c>
      <c r="Y110">
        <v>25</v>
      </c>
      <c r="Z110">
        <v>10</v>
      </c>
      <c r="AA110">
        <v>3000</v>
      </c>
      <c r="AB110" t="s">
        <v>69</v>
      </c>
      <c r="AC110" t="s">
        <v>50</v>
      </c>
      <c r="AD110">
        <v>2</v>
      </c>
      <c r="AE110">
        <v>7.1999999999999995E-2</v>
      </c>
      <c r="AF110">
        <v>0.42799999999999999</v>
      </c>
      <c r="AG110">
        <v>-1830</v>
      </c>
      <c r="AH110">
        <v>-2</v>
      </c>
      <c r="AI110">
        <v>0.23</v>
      </c>
      <c r="AJ110">
        <v>0.379</v>
      </c>
      <c r="AK110">
        <v>-1080</v>
      </c>
      <c r="AL110">
        <v>10</v>
      </c>
      <c r="AM110" t="s">
        <v>44</v>
      </c>
      <c r="AN110">
        <v>3.2</v>
      </c>
      <c r="AO110" t="s">
        <v>99</v>
      </c>
      <c r="AP110">
        <v>1</v>
      </c>
      <c r="AQ110">
        <v>312</v>
      </c>
    </row>
    <row r="111" spans="1:43" x14ac:dyDescent="0.2">
      <c r="A111" t="s">
        <v>77</v>
      </c>
      <c r="B111" t="s">
        <v>78</v>
      </c>
      <c r="C111">
        <v>114.19</v>
      </c>
      <c r="D111" t="s">
        <v>44</v>
      </c>
      <c r="G111" t="s">
        <v>44</v>
      </c>
      <c r="H111">
        <v>2</v>
      </c>
      <c r="I111" t="s">
        <v>45</v>
      </c>
      <c r="J111" t="s">
        <v>46</v>
      </c>
      <c r="K111">
        <v>265.5</v>
      </c>
      <c r="L111">
        <v>0.25</v>
      </c>
      <c r="M111" t="s">
        <v>47</v>
      </c>
      <c r="N111" t="s">
        <v>44</v>
      </c>
      <c r="O111" t="s">
        <v>44</v>
      </c>
      <c r="P111" t="s">
        <v>44</v>
      </c>
      <c r="Q111" t="s">
        <v>44</v>
      </c>
      <c r="R111">
        <v>2.25</v>
      </c>
      <c r="S111" s="5">
        <f t="shared" si="1"/>
        <v>18.600000000000001</v>
      </c>
      <c r="T111" t="s">
        <v>44</v>
      </c>
      <c r="U111" t="s">
        <v>44</v>
      </c>
      <c r="V111" t="s">
        <v>48</v>
      </c>
      <c r="W111" t="s">
        <v>44</v>
      </c>
      <c r="X111">
        <v>5</v>
      </c>
      <c r="Y111">
        <v>80</v>
      </c>
      <c r="Z111">
        <v>6</v>
      </c>
      <c r="AA111">
        <v>2000</v>
      </c>
      <c r="AB111" t="s">
        <v>49</v>
      </c>
      <c r="AC111" t="s">
        <v>50</v>
      </c>
      <c r="AD111">
        <v>1</v>
      </c>
      <c r="AE111">
        <v>0.10199999999999999</v>
      </c>
      <c r="AF111">
        <v>0.35799999999999998</v>
      </c>
      <c r="AG111">
        <v>-365</v>
      </c>
      <c r="AH111">
        <v>-2</v>
      </c>
      <c r="AI111">
        <v>0.23</v>
      </c>
      <c r="AJ111">
        <v>0.379</v>
      </c>
      <c r="AK111">
        <v>-1080</v>
      </c>
      <c r="AL111">
        <v>60</v>
      </c>
      <c r="AM111" t="s">
        <v>44</v>
      </c>
      <c r="AN111">
        <v>3.2</v>
      </c>
      <c r="AO111" t="s">
        <v>80</v>
      </c>
      <c r="AP111">
        <v>1</v>
      </c>
      <c r="AQ111">
        <v>313</v>
      </c>
    </row>
    <row r="112" spans="1:43" x14ac:dyDescent="0.2">
      <c r="A112" t="s">
        <v>144</v>
      </c>
      <c r="B112" t="s">
        <v>145</v>
      </c>
      <c r="C112">
        <v>200.32</v>
      </c>
      <c r="D112" t="s">
        <v>71</v>
      </c>
      <c r="E112" t="s">
        <v>72</v>
      </c>
      <c r="F112">
        <v>101.19</v>
      </c>
      <c r="G112" t="s">
        <v>44</v>
      </c>
      <c r="H112">
        <v>1</v>
      </c>
      <c r="I112" t="s">
        <v>45</v>
      </c>
      <c r="J112" t="s">
        <v>46</v>
      </c>
      <c r="K112">
        <v>265.5</v>
      </c>
      <c r="L112">
        <v>0.1</v>
      </c>
      <c r="M112" t="s">
        <v>98</v>
      </c>
      <c r="N112" t="s">
        <v>61</v>
      </c>
      <c r="O112">
        <v>0.1</v>
      </c>
      <c r="P112" t="s">
        <v>154</v>
      </c>
      <c r="Q112">
        <v>1</v>
      </c>
      <c r="R112">
        <v>1.1000000000000001</v>
      </c>
      <c r="S112" s="5">
        <f t="shared" si="1"/>
        <v>13.25</v>
      </c>
      <c r="T112" t="s">
        <v>44</v>
      </c>
      <c r="U112" t="s">
        <v>61</v>
      </c>
      <c r="V112" t="s">
        <v>106</v>
      </c>
      <c r="W112">
        <v>1</v>
      </c>
      <c r="X112" t="s">
        <v>44</v>
      </c>
      <c r="Y112">
        <v>25</v>
      </c>
      <c r="Z112">
        <v>3</v>
      </c>
      <c r="AA112">
        <v>1000</v>
      </c>
      <c r="AB112" t="s">
        <v>150</v>
      </c>
      <c r="AC112" t="s">
        <v>52</v>
      </c>
      <c r="AD112">
        <v>1</v>
      </c>
      <c r="AE112">
        <v>6.9000000000000006E-2</v>
      </c>
      <c r="AF112">
        <v>0.38200000000000001</v>
      </c>
      <c r="AG112">
        <v>-475</v>
      </c>
      <c r="AH112">
        <v>-1</v>
      </c>
      <c r="AI112">
        <v>0.18099999999999999</v>
      </c>
      <c r="AJ112">
        <v>0.33200000000000002</v>
      </c>
      <c r="AK112">
        <v>-340</v>
      </c>
      <c r="AL112">
        <v>20</v>
      </c>
      <c r="AM112" t="s">
        <v>44</v>
      </c>
      <c r="AN112">
        <v>3.2</v>
      </c>
      <c r="AO112" t="s">
        <v>155</v>
      </c>
      <c r="AP112">
        <v>1</v>
      </c>
      <c r="AQ112">
        <v>398</v>
      </c>
    </row>
    <row r="113" spans="1:43" x14ac:dyDescent="0.2">
      <c r="A113" t="s">
        <v>144</v>
      </c>
      <c r="B113" t="s">
        <v>145</v>
      </c>
      <c r="C113">
        <v>200.32</v>
      </c>
      <c r="D113" t="s">
        <v>71</v>
      </c>
      <c r="E113" t="s">
        <v>72</v>
      </c>
      <c r="F113">
        <v>101.19</v>
      </c>
      <c r="G113" t="s">
        <v>44</v>
      </c>
      <c r="H113">
        <v>1</v>
      </c>
      <c r="I113" t="s">
        <v>45</v>
      </c>
      <c r="J113" t="s">
        <v>46</v>
      </c>
      <c r="K113">
        <v>265.5</v>
      </c>
      <c r="L113">
        <v>0.1</v>
      </c>
      <c r="M113" t="s">
        <v>98</v>
      </c>
      <c r="N113" t="s">
        <v>61</v>
      </c>
      <c r="O113">
        <v>0.1</v>
      </c>
      <c r="P113" t="s">
        <v>154</v>
      </c>
      <c r="Q113">
        <v>1</v>
      </c>
      <c r="R113">
        <v>1.1000000000000001</v>
      </c>
      <c r="S113" s="5">
        <f t="shared" si="1"/>
        <v>13.25</v>
      </c>
      <c r="T113" t="s">
        <v>44</v>
      </c>
      <c r="U113" t="s">
        <v>61</v>
      </c>
      <c r="V113" t="s">
        <v>106</v>
      </c>
      <c r="W113">
        <v>1</v>
      </c>
      <c r="X113" t="s">
        <v>44</v>
      </c>
      <c r="Y113">
        <v>25</v>
      </c>
      <c r="Z113">
        <v>3</v>
      </c>
      <c r="AA113">
        <v>1000</v>
      </c>
      <c r="AB113" t="s">
        <v>69</v>
      </c>
      <c r="AC113" t="s">
        <v>52</v>
      </c>
      <c r="AD113">
        <v>2</v>
      </c>
      <c r="AE113">
        <v>7.1999999999999995E-2</v>
      </c>
      <c r="AF113">
        <v>0.42799999999999999</v>
      </c>
      <c r="AG113">
        <v>-1830</v>
      </c>
      <c r="AH113">
        <v>-1</v>
      </c>
      <c r="AI113">
        <v>0.18099999999999999</v>
      </c>
      <c r="AJ113">
        <v>0.33200000000000002</v>
      </c>
      <c r="AK113">
        <v>-340</v>
      </c>
      <c r="AL113">
        <v>15</v>
      </c>
      <c r="AM113" t="s">
        <v>44</v>
      </c>
      <c r="AN113">
        <v>3.2</v>
      </c>
      <c r="AO113" t="s">
        <v>155</v>
      </c>
      <c r="AP113">
        <v>1</v>
      </c>
      <c r="AQ113">
        <v>404</v>
      </c>
    </row>
    <row r="114" spans="1:43" x14ac:dyDescent="0.2">
      <c r="A114" t="s">
        <v>144</v>
      </c>
      <c r="B114" t="s">
        <v>145</v>
      </c>
      <c r="C114">
        <v>200.32</v>
      </c>
      <c r="D114" t="s">
        <v>71</v>
      </c>
      <c r="E114" t="s">
        <v>72</v>
      </c>
      <c r="F114">
        <v>101.19</v>
      </c>
      <c r="G114" t="s">
        <v>44</v>
      </c>
      <c r="H114">
        <v>0.25</v>
      </c>
      <c r="I114" t="s">
        <v>45</v>
      </c>
      <c r="J114" t="s">
        <v>46</v>
      </c>
      <c r="K114">
        <v>265.5</v>
      </c>
      <c r="L114">
        <v>0.1</v>
      </c>
      <c r="M114" t="s">
        <v>98</v>
      </c>
      <c r="N114" t="s">
        <v>61</v>
      </c>
      <c r="O114">
        <v>0.1</v>
      </c>
      <c r="P114" t="s">
        <v>154</v>
      </c>
      <c r="Q114">
        <v>1</v>
      </c>
      <c r="R114">
        <v>0.35</v>
      </c>
      <c r="S114" s="5">
        <f t="shared" si="1"/>
        <v>3.31</v>
      </c>
      <c r="T114" t="s">
        <v>44</v>
      </c>
      <c r="U114" t="s">
        <v>61</v>
      </c>
      <c r="V114" t="s">
        <v>106</v>
      </c>
      <c r="W114">
        <v>1</v>
      </c>
      <c r="X114" t="s">
        <v>44</v>
      </c>
      <c r="Y114">
        <v>25</v>
      </c>
      <c r="Z114">
        <v>3</v>
      </c>
      <c r="AA114">
        <v>1000</v>
      </c>
      <c r="AB114" t="s">
        <v>69</v>
      </c>
      <c r="AC114" t="s">
        <v>52</v>
      </c>
      <c r="AD114">
        <v>2</v>
      </c>
      <c r="AE114">
        <v>7.1999999999999995E-2</v>
      </c>
      <c r="AF114">
        <v>0.42799999999999999</v>
      </c>
      <c r="AG114">
        <v>-1830</v>
      </c>
      <c r="AH114">
        <v>-1</v>
      </c>
      <c r="AI114">
        <v>0.18099999999999999</v>
      </c>
      <c r="AJ114">
        <v>0.33200000000000002</v>
      </c>
      <c r="AK114">
        <v>-340</v>
      </c>
      <c r="AL114">
        <v>30</v>
      </c>
      <c r="AM114" t="s">
        <v>44</v>
      </c>
      <c r="AN114">
        <v>3.2</v>
      </c>
      <c r="AO114" t="s">
        <v>155</v>
      </c>
      <c r="AP114">
        <v>1</v>
      </c>
      <c r="AQ114">
        <v>413</v>
      </c>
    </row>
    <row r="115" spans="1:43" x14ac:dyDescent="0.2">
      <c r="A115" t="s">
        <v>144</v>
      </c>
      <c r="B115" t="s">
        <v>145</v>
      </c>
      <c r="C115">
        <v>200.32</v>
      </c>
      <c r="D115" t="s">
        <v>71</v>
      </c>
      <c r="E115" t="s">
        <v>72</v>
      </c>
      <c r="F115">
        <v>101.19</v>
      </c>
      <c r="G115" t="s">
        <v>44</v>
      </c>
      <c r="H115">
        <v>0.25</v>
      </c>
      <c r="I115" t="s">
        <v>45</v>
      </c>
      <c r="J115" t="s">
        <v>46</v>
      </c>
      <c r="K115">
        <v>265.5</v>
      </c>
      <c r="L115">
        <v>2.5000000000000001E-2</v>
      </c>
      <c r="M115" t="s">
        <v>98</v>
      </c>
      <c r="N115" t="s">
        <v>61</v>
      </c>
      <c r="O115">
        <v>0.1</v>
      </c>
      <c r="P115" t="s">
        <v>154</v>
      </c>
      <c r="Q115">
        <v>1</v>
      </c>
      <c r="R115">
        <v>0.27500000000000002</v>
      </c>
      <c r="S115" s="5">
        <f t="shared" si="1"/>
        <v>13.25</v>
      </c>
      <c r="T115" t="s">
        <v>44</v>
      </c>
      <c r="U115" t="s">
        <v>61</v>
      </c>
      <c r="V115" t="s">
        <v>106</v>
      </c>
      <c r="W115">
        <v>1</v>
      </c>
      <c r="X115" t="s">
        <v>44</v>
      </c>
      <c r="Y115">
        <v>25</v>
      </c>
      <c r="Z115">
        <v>3</v>
      </c>
      <c r="AA115">
        <v>1000</v>
      </c>
      <c r="AB115" t="s">
        <v>150</v>
      </c>
      <c r="AC115" t="s">
        <v>52</v>
      </c>
      <c r="AD115">
        <v>1</v>
      </c>
      <c r="AE115">
        <v>6.9000000000000006E-2</v>
      </c>
      <c r="AF115">
        <v>0.38200000000000001</v>
      </c>
      <c r="AG115">
        <v>-475</v>
      </c>
      <c r="AH115">
        <v>-1</v>
      </c>
      <c r="AI115">
        <v>0.18099999999999999</v>
      </c>
      <c r="AJ115">
        <v>0.33200000000000002</v>
      </c>
      <c r="AK115">
        <v>-340</v>
      </c>
      <c r="AL115">
        <v>30</v>
      </c>
      <c r="AM115" t="s">
        <v>44</v>
      </c>
      <c r="AN115">
        <v>3.2</v>
      </c>
      <c r="AO115" t="s">
        <v>155</v>
      </c>
      <c r="AP115">
        <v>1</v>
      </c>
      <c r="AQ115">
        <v>417</v>
      </c>
    </row>
    <row r="116" spans="1:43" x14ac:dyDescent="0.2">
      <c r="A116" t="s">
        <v>42</v>
      </c>
      <c r="B116" t="s">
        <v>43</v>
      </c>
      <c r="C116">
        <v>86.14</v>
      </c>
      <c r="D116" t="s">
        <v>71</v>
      </c>
      <c r="E116" t="s">
        <v>72</v>
      </c>
      <c r="F116">
        <v>101.19</v>
      </c>
      <c r="G116">
        <v>1</v>
      </c>
      <c r="H116">
        <v>0.191</v>
      </c>
      <c r="I116" t="s">
        <v>45</v>
      </c>
      <c r="J116" t="s">
        <v>46</v>
      </c>
      <c r="K116">
        <v>265.5</v>
      </c>
      <c r="L116">
        <v>0.1</v>
      </c>
      <c r="M116" t="s">
        <v>47</v>
      </c>
      <c r="N116" t="s">
        <v>44</v>
      </c>
      <c r="O116" t="s">
        <v>44</v>
      </c>
      <c r="P116" t="s">
        <v>44</v>
      </c>
      <c r="Q116" t="s">
        <v>44</v>
      </c>
      <c r="R116">
        <v>0.29099999999999998</v>
      </c>
      <c r="S116" s="5">
        <f t="shared" si="1"/>
        <v>5.45</v>
      </c>
      <c r="T116" t="s">
        <v>44</v>
      </c>
      <c r="U116" t="s">
        <v>44</v>
      </c>
      <c r="V116" t="s">
        <v>48</v>
      </c>
      <c r="W116" t="s">
        <v>44</v>
      </c>
      <c r="X116">
        <v>10</v>
      </c>
      <c r="Y116" t="s">
        <v>44</v>
      </c>
      <c r="Z116">
        <v>4.8</v>
      </c>
      <c r="AA116">
        <v>2000</v>
      </c>
      <c r="AB116" t="s">
        <v>69</v>
      </c>
      <c r="AC116" t="s">
        <v>50</v>
      </c>
      <c r="AD116">
        <v>2</v>
      </c>
      <c r="AE116">
        <v>7.1999999999999995E-2</v>
      </c>
      <c r="AF116">
        <v>0.42799999999999999</v>
      </c>
      <c r="AG116">
        <v>-1830</v>
      </c>
      <c r="AH116">
        <v>-2</v>
      </c>
      <c r="AI116">
        <v>0.23</v>
      </c>
      <c r="AJ116">
        <v>0.379</v>
      </c>
      <c r="AK116">
        <v>-1080</v>
      </c>
      <c r="AL116">
        <v>60</v>
      </c>
      <c r="AM116" t="s">
        <v>44</v>
      </c>
      <c r="AN116">
        <v>3.3</v>
      </c>
      <c r="AO116" t="s">
        <v>73</v>
      </c>
      <c r="AP116">
        <v>1</v>
      </c>
      <c r="AQ116">
        <v>13</v>
      </c>
    </row>
    <row r="117" spans="1:43" x14ac:dyDescent="0.2">
      <c r="A117" t="s">
        <v>42</v>
      </c>
      <c r="B117" t="s">
        <v>43</v>
      </c>
      <c r="C117">
        <v>86.14</v>
      </c>
      <c r="D117" t="s">
        <v>135</v>
      </c>
      <c r="E117" t="s">
        <v>136</v>
      </c>
      <c r="F117">
        <v>152.15</v>
      </c>
      <c r="G117">
        <v>39</v>
      </c>
      <c r="H117">
        <v>1.95</v>
      </c>
      <c r="I117" t="s">
        <v>45</v>
      </c>
      <c r="J117" t="s">
        <v>46</v>
      </c>
      <c r="K117">
        <v>265.5</v>
      </c>
      <c r="L117">
        <v>0.153</v>
      </c>
      <c r="M117" t="s">
        <v>47</v>
      </c>
      <c r="N117" t="s">
        <v>44</v>
      </c>
      <c r="O117" t="s">
        <v>44</v>
      </c>
      <c r="P117" t="s">
        <v>44</v>
      </c>
      <c r="Q117" t="s">
        <v>44</v>
      </c>
      <c r="R117">
        <v>2.1030000000000002</v>
      </c>
      <c r="S117" s="5">
        <f t="shared" si="1"/>
        <v>38.86</v>
      </c>
      <c r="T117" t="s">
        <v>44</v>
      </c>
      <c r="U117" t="s">
        <v>44</v>
      </c>
      <c r="V117" t="s">
        <v>48</v>
      </c>
      <c r="W117" t="s">
        <v>44</v>
      </c>
      <c r="X117" t="s">
        <v>44</v>
      </c>
      <c r="Y117" t="s">
        <v>44</v>
      </c>
      <c r="Z117">
        <v>4.5</v>
      </c>
      <c r="AA117">
        <v>585</v>
      </c>
      <c r="AB117" t="s">
        <v>49</v>
      </c>
      <c r="AC117" t="s">
        <v>52</v>
      </c>
      <c r="AD117">
        <v>1</v>
      </c>
      <c r="AE117">
        <v>0.10199999999999999</v>
      </c>
      <c r="AF117">
        <v>0.35799999999999998</v>
      </c>
      <c r="AG117">
        <v>-365</v>
      </c>
      <c r="AH117">
        <v>-1</v>
      </c>
      <c r="AI117">
        <v>0.18099999999999999</v>
      </c>
      <c r="AJ117">
        <v>0.33200000000000002</v>
      </c>
      <c r="AK117">
        <v>-340</v>
      </c>
      <c r="AL117">
        <v>10</v>
      </c>
      <c r="AM117" t="s">
        <v>44</v>
      </c>
      <c r="AN117">
        <v>3.3</v>
      </c>
      <c r="AO117" t="s">
        <v>137</v>
      </c>
      <c r="AP117">
        <v>1</v>
      </c>
      <c r="AQ117">
        <v>307</v>
      </c>
    </row>
    <row r="118" spans="1:43" x14ac:dyDescent="0.2">
      <c r="A118" t="s">
        <v>42</v>
      </c>
      <c r="B118" t="s">
        <v>43</v>
      </c>
      <c r="C118">
        <v>86.14</v>
      </c>
      <c r="D118" t="s">
        <v>71</v>
      </c>
      <c r="E118" t="s">
        <v>72</v>
      </c>
      <c r="F118">
        <v>101.19</v>
      </c>
      <c r="G118">
        <v>1</v>
      </c>
      <c r="H118">
        <v>3.0539999999999998</v>
      </c>
      <c r="I118" t="s">
        <v>45</v>
      </c>
      <c r="J118" t="s">
        <v>46</v>
      </c>
      <c r="K118">
        <v>265.5</v>
      </c>
      <c r="L118">
        <v>0.1</v>
      </c>
      <c r="M118" t="s">
        <v>47</v>
      </c>
      <c r="N118" t="s">
        <v>83</v>
      </c>
      <c r="O118">
        <v>1</v>
      </c>
      <c r="P118" t="s">
        <v>44</v>
      </c>
      <c r="Q118" t="s">
        <v>44</v>
      </c>
      <c r="R118">
        <v>3.1539999999999999</v>
      </c>
      <c r="S118" s="5">
        <f t="shared" si="1"/>
        <v>87.13</v>
      </c>
      <c r="T118" t="s">
        <v>44</v>
      </c>
      <c r="U118" t="s">
        <v>44</v>
      </c>
      <c r="V118" t="s">
        <v>48</v>
      </c>
      <c r="W118" t="s">
        <v>44</v>
      </c>
      <c r="X118">
        <v>10</v>
      </c>
      <c r="Y118" t="s">
        <v>44</v>
      </c>
      <c r="Z118">
        <v>4.8</v>
      </c>
      <c r="AA118">
        <v>2000</v>
      </c>
      <c r="AB118" t="s">
        <v>69</v>
      </c>
      <c r="AC118" t="s">
        <v>50</v>
      </c>
      <c r="AD118">
        <v>2</v>
      </c>
      <c r="AE118">
        <v>7.1999999999999995E-2</v>
      </c>
      <c r="AF118">
        <v>0.42799999999999999</v>
      </c>
      <c r="AG118">
        <v>-1830</v>
      </c>
      <c r="AH118">
        <v>-2</v>
      </c>
      <c r="AI118">
        <v>0.23</v>
      </c>
      <c r="AJ118">
        <v>0.379</v>
      </c>
      <c r="AK118">
        <v>-1080</v>
      </c>
      <c r="AL118">
        <v>60</v>
      </c>
      <c r="AM118" t="s">
        <v>44</v>
      </c>
      <c r="AN118">
        <v>3.3</v>
      </c>
      <c r="AO118" t="s">
        <v>73</v>
      </c>
      <c r="AP118">
        <v>1</v>
      </c>
      <c r="AQ118">
        <v>308</v>
      </c>
    </row>
    <row r="119" spans="1:43" x14ac:dyDescent="0.2">
      <c r="A119" t="s">
        <v>144</v>
      </c>
      <c r="B119" t="s">
        <v>145</v>
      </c>
      <c r="C119">
        <v>200.32</v>
      </c>
      <c r="D119" t="s">
        <v>71</v>
      </c>
      <c r="E119" t="s">
        <v>72</v>
      </c>
      <c r="F119">
        <v>101.19</v>
      </c>
      <c r="G119" t="s">
        <v>44</v>
      </c>
      <c r="H119">
        <v>1.75</v>
      </c>
      <c r="I119" t="s">
        <v>45</v>
      </c>
      <c r="J119" t="s">
        <v>46</v>
      </c>
      <c r="K119">
        <v>265.5</v>
      </c>
      <c r="L119">
        <v>0.1</v>
      </c>
      <c r="M119" t="s">
        <v>98</v>
      </c>
      <c r="N119" t="s">
        <v>61</v>
      </c>
      <c r="O119">
        <v>0.1</v>
      </c>
      <c r="P119" t="s">
        <v>154</v>
      </c>
      <c r="Q119">
        <v>1</v>
      </c>
      <c r="R119">
        <v>1.85</v>
      </c>
      <c r="S119" s="5">
        <f t="shared" si="1"/>
        <v>23.19</v>
      </c>
      <c r="T119" t="s">
        <v>44</v>
      </c>
      <c r="U119" t="s">
        <v>61</v>
      </c>
      <c r="V119" t="s">
        <v>106</v>
      </c>
      <c r="W119">
        <v>1</v>
      </c>
      <c r="X119" t="s">
        <v>44</v>
      </c>
      <c r="Y119">
        <v>25</v>
      </c>
      <c r="Z119">
        <v>3</v>
      </c>
      <c r="AA119">
        <v>1000</v>
      </c>
      <c r="AB119" t="s">
        <v>150</v>
      </c>
      <c r="AC119" t="s">
        <v>52</v>
      </c>
      <c r="AD119">
        <v>1</v>
      </c>
      <c r="AE119">
        <v>6.9000000000000006E-2</v>
      </c>
      <c r="AF119">
        <v>0.38200000000000001</v>
      </c>
      <c r="AG119">
        <v>-475</v>
      </c>
      <c r="AH119">
        <v>-1</v>
      </c>
      <c r="AI119">
        <v>0.18099999999999999</v>
      </c>
      <c r="AJ119">
        <v>0.33200000000000002</v>
      </c>
      <c r="AK119">
        <v>-340</v>
      </c>
      <c r="AL119">
        <v>30</v>
      </c>
      <c r="AM119" t="s">
        <v>44</v>
      </c>
      <c r="AN119">
        <v>3.3</v>
      </c>
      <c r="AO119" t="s">
        <v>155</v>
      </c>
      <c r="AP119">
        <v>1</v>
      </c>
      <c r="AQ119">
        <v>412</v>
      </c>
    </row>
    <row r="120" spans="1:43" x14ac:dyDescent="0.2">
      <c r="A120" t="s">
        <v>42</v>
      </c>
      <c r="B120" t="s">
        <v>43</v>
      </c>
      <c r="C120">
        <v>86.14</v>
      </c>
      <c r="D120" t="s">
        <v>122</v>
      </c>
      <c r="E120" t="s">
        <v>123</v>
      </c>
      <c r="F120">
        <v>160.26</v>
      </c>
      <c r="G120">
        <v>2</v>
      </c>
      <c r="H120">
        <v>2</v>
      </c>
      <c r="I120" t="s">
        <v>45</v>
      </c>
      <c r="J120" t="s">
        <v>46</v>
      </c>
      <c r="K120">
        <v>265.5</v>
      </c>
      <c r="L120">
        <v>0.1</v>
      </c>
      <c r="M120" t="s">
        <v>47</v>
      </c>
      <c r="N120" t="s">
        <v>44</v>
      </c>
      <c r="O120" t="s">
        <v>44</v>
      </c>
      <c r="P120" t="s">
        <v>44</v>
      </c>
      <c r="Q120" t="s">
        <v>44</v>
      </c>
      <c r="R120">
        <v>2.1</v>
      </c>
      <c r="S120" s="5">
        <f t="shared" si="1"/>
        <v>52.14</v>
      </c>
      <c r="T120" t="s">
        <v>44</v>
      </c>
      <c r="U120" t="s">
        <v>44</v>
      </c>
      <c r="V120" t="s">
        <v>48</v>
      </c>
      <c r="W120" t="s">
        <v>44</v>
      </c>
      <c r="X120">
        <v>30</v>
      </c>
      <c r="Y120">
        <v>22</v>
      </c>
      <c r="Z120">
        <v>7</v>
      </c>
      <c r="AA120">
        <v>2000</v>
      </c>
      <c r="AB120" t="s">
        <v>49</v>
      </c>
      <c r="AC120" t="s">
        <v>50</v>
      </c>
      <c r="AD120">
        <v>1</v>
      </c>
      <c r="AE120">
        <v>0.10199999999999999</v>
      </c>
      <c r="AF120">
        <v>0.35799999999999998</v>
      </c>
      <c r="AG120">
        <v>-365</v>
      </c>
      <c r="AH120">
        <v>-2</v>
      </c>
      <c r="AI120">
        <v>0.23</v>
      </c>
      <c r="AJ120">
        <v>0.379</v>
      </c>
      <c r="AK120">
        <v>-1080</v>
      </c>
      <c r="AL120">
        <v>30</v>
      </c>
      <c r="AM120" t="s">
        <v>44</v>
      </c>
      <c r="AN120">
        <v>3.4</v>
      </c>
      <c r="AO120" t="s">
        <v>124</v>
      </c>
      <c r="AP120">
        <v>1</v>
      </c>
      <c r="AQ120">
        <v>302</v>
      </c>
    </row>
    <row r="121" spans="1:43" x14ac:dyDescent="0.2">
      <c r="A121" t="s">
        <v>42</v>
      </c>
      <c r="B121" t="s">
        <v>43</v>
      </c>
      <c r="C121">
        <v>86.14</v>
      </c>
      <c r="D121" t="s">
        <v>135</v>
      </c>
      <c r="E121" t="s">
        <v>136</v>
      </c>
      <c r="F121">
        <v>152.15</v>
      </c>
      <c r="G121">
        <v>39</v>
      </c>
      <c r="H121">
        <v>1.95</v>
      </c>
      <c r="I121" t="s">
        <v>45</v>
      </c>
      <c r="J121" t="s">
        <v>46</v>
      </c>
      <c r="K121">
        <v>265.5</v>
      </c>
      <c r="L121">
        <v>0.153</v>
      </c>
      <c r="M121" t="s">
        <v>47</v>
      </c>
      <c r="N121" t="s">
        <v>44</v>
      </c>
      <c r="O121" t="s">
        <v>44</v>
      </c>
      <c r="P121" t="s">
        <v>44</v>
      </c>
      <c r="Q121" t="s">
        <v>44</v>
      </c>
      <c r="R121">
        <v>2.1030000000000002</v>
      </c>
      <c r="S121" s="5">
        <f t="shared" si="1"/>
        <v>38.86</v>
      </c>
      <c r="T121" t="s">
        <v>44</v>
      </c>
      <c r="U121" t="s">
        <v>44</v>
      </c>
      <c r="V121" t="s">
        <v>48</v>
      </c>
      <c r="W121" t="s">
        <v>44</v>
      </c>
      <c r="X121" t="s">
        <v>44</v>
      </c>
      <c r="Y121" t="s">
        <v>44</v>
      </c>
      <c r="Z121">
        <v>4.5</v>
      </c>
      <c r="AA121">
        <v>100</v>
      </c>
      <c r="AB121" t="s">
        <v>127</v>
      </c>
      <c r="AC121" t="s">
        <v>50</v>
      </c>
      <c r="AD121">
        <v>2</v>
      </c>
      <c r="AE121">
        <v>7.2999999999999995E-2</v>
      </c>
      <c r="AF121">
        <v>0.41899999999999998</v>
      </c>
      <c r="AG121">
        <v>-2010</v>
      </c>
      <c r="AH121">
        <v>-2</v>
      </c>
      <c r="AI121">
        <v>0.23</v>
      </c>
      <c r="AJ121">
        <v>0.379</v>
      </c>
      <c r="AK121">
        <v>-1080</v>
      </c>
      <c r="AL121">
        <v>10</v>
      </c>
      <c r="AM121" t="s">
        <v>44</v>
      </c>
      <c r="AN121">
        <v>3.4</v>
      </c>
      <c r="AO121" t="s">
        <v>137</v>
      </c>
      <c r="AP121">
        <v>1</v>
      </c>
      <c r="AQ121">
        <v>303</v>
      </c>
    </row>
    <row r="122" spans="1:43" x14ac:dyDescent="0.2">
      <c r="A122" t="s">
        <v>144</v>
      </c>
      <c r="B122" t="s">
        <v>145</v>
      </c>
      <c r="C122">
        <v>200.32</v>
      </c>
      <c r="D122" t="s">
        <v>44</v>
      </c>
      <c r="G122" t="s">
        <v>44</v>
      </c>
      <c r="H122">
        <v>1</v>
      </c>
      <c r="I122" t="s">
        <v>45</v>
      </c>
      <c r="J122" t="s">
        <v>46</v>
      </c>
      <c r="K122">
        <v>265.5</v>
      </c>
      <c r="L122">
        <v>0.13</v>
      </c>
      <c r="M122" t="s">
        <v>98</v>
      </c>
      <c r="N122" t="s">
        <v>44</v>
      </c>
      <c r="O122" t="s">
        <v>44</v>
      </c>
      <c r="P122" t="s">
        <v>44</v>
      </c>
      <c r="Q122" t="s">
        <v>44</v>
      </c>
      <c r="R122">
        <v>1.1299999999999999</v>
      </c>
      <c r="S122" s="5">
        <f t="shared" si="1"/>
        <v>10.199999999999999</v>
      </c>
      <c r="T122" t="s">
        <v>44</v>
      </c>
      <c r="U122" t="s">
        <v>44</v>
      </c>
      <c r="V122" t="s">
        <v>48</v>
      </c>
      <c r="W122" t="s">
        <v>44</v>
      </c>
      <c r="X122" t="s">
        <v>44</v>
      </c>
      <c r="Y122">
        <v>25</v>
      </c>
      <c r="Z122">
        <v>10</v>
      </c>
      <c r="AA122">
        <v>3000</v>
      </c>
      <c r="AB122" t="s">
        <v>69</v>
      </c>
      <c r="AC122" t="s">
        <v>50</v>
      </c>
      <c r="AD122">
        <v>2</v>
      </c>
      <c r="AE122">
        <v>7.1999999999999995E-2</v>
      </c>
      <c r="AF122">
        <v>0.42799999999999999</v>
      </c>
      <c r="AG122">
        <v>-1830</v>
      </c>
      <c r="AH122">
        <v>-2</v>
      </c>
      <c r="AI122">
        <v>0.23</v>
      </c>
      <c r="AJ122">
        <v>0.379</v>
      </c>
      <c r="AK122">
        <v>-1080</v>
      </c>
      <c r="AL122">
        <v>10</v>
      </c>
      <c r="AM122" t="s">
        <v>44</v>
      </c>
      <c r="AN122">
        <v>3.4</v>
      </c>
      <c r="AO122" t="s">
        <v>99</v>
      </c>
      <c r="AP122">
        <v>1</v>
      </c>
      <c r="AQ122">
        <v>304</v>
      </c>
    </row>
    <row r="123" spans="1:43" x14ac:dyDescent="0.2">
      <c r="A123" t="s">
        <v>42</v>
      </c>
      <c r="B123" t="s">
        <v>43</v>
      </c>
      <c r="C123">
        <v>86.14</v>
      </c>
      <c r="D123" t="s">
        <v>44</v>
      </c>
      <c r="G123" t="s">
        <v>44</v>
      </c>
      <c r="H123">
        <v>0.35</v>
      </c>
      <c r="I123" t="s">
        <v>45</v>
      </c>
      <c r="J123" t="s">
        <v>46</v>
      </c>
      <c r="K123">
        <v>265.5</v>
      </c>
      <c r="L123">
        <v>0.2</v>
      </c>
      <c r="M123" t="s">
        <v>47</v>
      </c>
      <c r="N123" t="s">
        <v>44</v>
      </c>
      <c r="O123" t="s">
        <v>44</v>
      </c>
      <c r="P123" t="s">
        <v>44</v>
      </c>
      <c r="Q123" t="s">
        <v>44</v>
      </c>
      <c r="R123">
        <v>0.55000000000000004</v>
      </c>
      <c r="S123" s="5">
        <f t="shared" si="1"/>
        <v>5.39</v>
      </c>
      <c r="T123" t="s">
        <v>44</v>
      </c>
      <c r="U123" t="s">
        <v>44</v>
      </c>
      <c r="V123" t="s">
        <v>48</v>
      </c>
      <c r="W123" t="s">
        <v>44</v>
      </c>
      <c r="X123">
        <v>20</v>
      </c>
      <c r="Y123">
        <v>50</v>
      </c>
      <c r="Z123">
        <v>6</v>
      </c>
      <c r="AA123">
        <v>3000</v>
      </c>
      <c r="AB123" t="s">
        <v>69</v>
      </c>
      <c r="AC123" t="s">
        <v>50</v>
      </c>
      <c r="AD123">
        <v>2</v>
      </c>
      <c r="AE123">
        <v>7.1999999999999995E-2</v>
      </c>
      <c r="AF123">
        <v>0.42799999999999999</v>
      </c>
      <c r="AG123">
        <v>-1830</v>
      </c>
      <c r="AH123">
        <v>-2</v>
      </c>
      <c r="AI123">
        <v>0.23</v>
      </c>
      <c r="AJ123">
        <v>0.379</v>
      </c>
      <c r="AK123">
        <v>-1080</v>
      </c>
      <c r="AL123">
        <v>120</v>
      </c>
      <c r="AM123" t="s">
        <v>44</v>
      </c>
      <c r="AN123">
        <v>3.4</v>
      </c>
      <c r="AO123" t="s">
        <v>114</v>
      </c>
      <c r="AP123">
        <v>1</v>
      </c>
      <c r="AQ123">
        <v>305</v>
      </c>
    </row>
    <row r="124" spans="1:43" x14ac:dyDescent="0.2">
      <c r="A124" t="s">
        <v>59</v>
      </c>
      <c r="B124" t="s">
        <v>60</v>
      </c>
      <c r="C124">
        <v>43.1</v>
      </c>
      <c r="D124" t="s">
        <v>42</v>
      </c>
      <c r="E124" t="s">
        <v>43</v>
      </c>
      <c r="F124">
        <v>86.14</v>
      </c>
      <c r="G124">
        <v>2.33</v>
      </c>
      <c r="H124">
        <v>3</v>
      </c>
      <c r="I124" t="s">
        <v>45</v>
      </c>
      <c r="J124" t="s">
        <v>46</v>
      </c>
      <c r="K124">
        <v>265.5</v>
      </c>
      <c r="L124">
        <v>0.6</v>
      </c>
      <c r="M124" t="s">
        <v>47</v>
      </c>
      <c r="N124" t="s">
        <v>44</v>
      </c>
      <c r="O124" t="s">
        <v>44</v>
      </c>
      <c r="P124" t="s">
        <v>44</v>
      </c>
      <c r="Q124" t="s">
        <v>44</v>
      </c>
      <c r="R124">
        <v>3.6</v>
      </c>
      <c r="S124" s="5">
        <f t="shared" si="1"/>
        <v>26.18</v>
      </c>
      <c r="T124">
        <v>9.5</v>
      </c>
      <c r="U124" t="s">
        <v>44</v>
      </c>
      <c r="V124" t="s">
        <v>48</v>
      </c>
      <c r="W124" t="s">
        <v>44</v>
      </c>
      <c r="X124">
        <v>20</v>
      </c>
      <c r="Y124">
        <v>75</v>
      </c>
      <c r="Z124">
        <v>8</v>
      </c>
      <c r="AA124">
        <v>500</v>
      </c>
      <c r="AB124" t="s">
        <v>69</v>
      </c>
      <c r="AC124" t="s">
        <v>52</v>
      </c>
      <c r="AD124">
        <v>2</v>
      </c>
      <c r="AE124">
        <v>7.1999999999999995E-2</v>
      </c>
      <c r="AF124">
        <v>0.42799999999999999</v>
      </c>
      <c r="AG124">
        <v>-1830</v>
      </c>
      <c r="AH124">
        <v>-1</v>
      </c>
      <c r="AI124">
        <v>0.18099999999999999</v>
      </c>
      <c r="AJ124">
        <v>0.33200000000000002</v>
      </c>
      <c r="AK124">
        <v>-340</v>
      </c>
      <c r="AL124">
        <v>1800</v>
      </c>
      <c r="AM124" t="s">
        <v>44</v>
      </c>
      <c r="AN124">
        <v>3.4</v>
      </c>
      <c r="AO124" t="s">
        <v>143</v>
      </c>
      <c r="AP124">
        <v>1</v>
      </c>
      <c r="AQ124">
        <v>339</v>
      </c>
    </row>
    <row r="125" spans="1:43" x14ac:dyDescent="0.2">
      <c r="A125" s="2" t="s">
        <v>59</v>
      </c>
      <c r="B125" s="2" t="s">
        <v>60</v>
      </c>
      <c r="C125" s="2">
        <v>43.1</v>
      </c>
      <c r="D125" s="2" t="s">
        <v>44</v>
      </c>
      <c r="E125" s="2"/>
      <c r="F125" s="2"/>
      <c r="G125" s="2" t="s">
        <v>44</v>
      </c>
      <c r="H125" s="2">
        <v>2</v>
      </c>
      <c r="I125" s="2" t="s">
        <v>45</v>
      </c>
      <c r="J125" s="2" t="s">
        <v>46</v>
      </c>
      <c r="K125" s="2">
        <v>265.5</v>
      </c>
      <c r="L125" s="2">
        <v>0.4</v>
      </c>
      <c r="M125" s="2" t="s">
        <v>47</v>
      </c>
      <c r="N125" s="2" t="s">
        <v>61</v>
      </c>
      <c r="O125" s="2">
        <v>0.1</v>
      </c>
      <c r="P125" s="2" t="s">
        <v>44</v>
      </c>
      <c r="Q125" s="2" t="s">
        <v>44</v>
      </c>
      <c r="R125" s="2">
        <v>2.4</v>
      </c>
      <c r="S125" s="3">
        <f t="shared" si="1"/>
        <v>30.8</v>
      </c>
      <c r="T125" s="2">
        <v>9.5</v>
      </c>
      <c r="U125" s="2" t="s">
        <v>44</v>
      </c>
      <c r="V125" s="2" t="s">
        <v>48</v>
      </c>
      <c r="W125" s="2" t="s">
        <v>44</v>
      </c>
      <c r="X125" s="2">
        <v>20</v>
      </c>
      <c r="Y125" s="2">
        <v>95</v>
      </c>
      <c r="Z125" s="2">
        <v>8</v>
      </c>
      <c r="AA125" s="2">
        <v>500</v>
      </c>
      <c r="AB125" s="2" t="s">
        <v>69</v>
      </c>
      <c r="AC125" s="2" t="s">
        <v>52</v>
      </c>
      <c r="AD125" s="2">
        <v>2</v>
      </c>
      <c r="AE125" s="2">
        <v>7.1999999999999995E-2</v>
      </c>
      <c r="AF125" s="2">
        <v>0.42799999999999999</v>
      </c>
      <c r="AG125" s="2">
        <v>-1830</v>
      </c>
      <c r="AH125" s="2">
        <v>-1</v>
      </c>
      <c r="AI125" s="2">
        <v>0.18099999999999999</v>
      </c>
      <c r="AJ125" s="2">
        <v>0.33200000000000002</v>
      </c>
      <c r="AK125" s="2">
        <v>-340</v>
      </c>
      <c r="AL125" s="2">
        <v>1800</v>
      </c>
      <c r="AM125" s="2" t="s">
        <v>44</v>
      </c>
      <c r="AN125" s="2">
        <v>3.5</v>
      </c>
      <c r="AO125" s="2" t="s">
        <v>62</v>
      </c>
      <c r="AP125" s="2">
        <v>1</v>
      </c>
      <c r="AQ125" s="2">
        <v>225</v>
      </c>
    </row>
    <row r="126" spans="1:43" x14ac:dyDescent="0.2">
      <c r="A126" s="2" t="s">
        <v>59</v>
      </c>
      <c r="B126" s="2" t="s">
        <v>60</v>
      </c>
      <c r="C126" s="2">
        <v>43.1</v>
      </c>
      <c r="D126" s="2" t="s">
        <v>44</v>
      </c>
      <c r="E126" s="2"/>
      <c r="F126" s="2"/>
      <c r="G126" s="2" t="s">
        <v>44</v>
      </c>
      <c r="H126" s="2">
        <v>2.5</v>
      </c>
      <c r="I126" s="2" t="s">
        <v>45</v>
      </c>
      <c r="J126" s="2" t="s">
        <v>46</v>
      </c>
      <c r="K126" s="2">
        <v>265.5</v>
      </c>
      <c r="L126" s="2">
        <v>0.4</v>
      </c>
      <c r="M126" s="2" t="s">
        <v>47</v>
      </c>
      <c r="N126" s="2" t="s">
        <v>61</v>
      </c>
      <c r="O126" s="2">
        <v>0.1</v>
      </c>
      <c r="P126" s="2" t="s">
        <v>44</v>
      </c>
      <c r="Q126" s="2" t="s">
        <v>44</v>
      </c>
      <c r="R126" s="2">
        <v>2.9</v>
      </c>
      <c r="S126" s="3">
        <f t="shared" si="1"/>
        <v>38.5</v>
      </c>
      <c r="T126" s="2">
        <v>9.5</v>
      </c>
      <c r="U126" s="2" t="s">
        <v>44</v>
      </c>
      <c r="V126" s="2" t="s">
        <v>48</v>
      </c>
      <c r="W126" s="2" t="s">
        <v>44</v>
      </c>
      <c r="X126" s="2">
        <v>20</v>
      </c>
      <c r="Y126" s="2">
        <v>95</v>
      </c>
      <c r="Z126" s="2">
        <v>8</v>
      </c>
      <c r="AA126" s="2">
        <v>500</v>
      </c>
      <c r="AB126" s="2" t="s">
        <v>69</v>
      </c>
      <c r="AC126" s="2" t="s">
        <v>50</v>
      </c>
      <c r="AD126" s="2">
        <v>2</v>
      </c>
      <c r="AE126" s="2">
        <v>7.1999999999999995E-2</v>
      </c>
      <c r="AF126" s="2">
        <v>0.42799999999999999</v>
      </c>
      <c r="AG126" s="2">
        <v>-1830</v>
      </c>
      <c r="AH126" s="2">
        <v>-2</v>
      </c>
      <c r="AI126" s="2">
        <v>0.23</v>
      </c>
      <c r="AJ126" s="2">
        <v>0.379</v>
      </c>
      <c r="AK126" s="2">
        <v>-1080</v>
      </c>
      <c r="AL126" s="2">
        <v>1800</v>
      </c>
      <c r="AM126" s="2" t="s">
        <v>44</v>
      </c>
      <c r="AN126" s="2">
        <v>3.5</v>
      </c>
      <c r="AO126" s="2" t="s">
        <v>62</v>
      </c>
      <c r="AP126" s="2">
        <v>1</v>
      </c>
      <c r="AQ126" s="2">
        <v>229</v>
      </c>
    </row>
    <row r="127" spans="1:43" x14ac:dyDescent="0.2">
      <c r="A127" s="2" t="s">
        <v>42</v>
      </c>
      <c r="B127" s="2" t="s">
        <v>43</v>
      </c>
      <c r="C127" s="2">
        <v>86.14</v>
      </c>
      <c r="D127" s="2" t="s">
        <v>122</v>
      </c>
      <c r="E127" s="2" t="s">
        <v>123</v>
      </c>
      <c r="F127" s="2">
        <v>160.26</v>
      </c>
      <c r="G127" s="2">
        <v>2</v>
      </c>
      <c r="H127" s="2">
        <v>2</v>
      </c>
      <c r="I127" s="2" t="s">
        <v>45</v>
      </c>
      <c r="J127" s="2" t="s">
        <v>46</v>
      </c>
      <c r="K127" s="2">
        <v>265.5</v>
      </c>
      <c r="L127" s="2">
        <v>0.1</v>
      </c>
      <c r="M127" s="2" t="s">
        <v>47</v>
      </c>
      <c r="N127" s="2" t="s">
        <v>44</v>
      </c>
      <c r="O127" s="2" t="s">
        <v>44</v>
      </c>
      <c r="P127" s="2" t="s">
        <v>44</v>
      </c>
      <c r="Q127" s="2" t="s">
        <v>44</v>
      </c>
      <c r="R127" s="2">
        <v>2.1</v>
      </c>
      <c r="S127" s="3">
        <f t="shared" si="1"/>
        <v>52.14</v>
      </c>
      <c r="T127" s="2" t="s">
        <v>44</v>
      </c>
      <c r="U127" s="2" t="s">
        <v>44</v>
      </c>
      <c r="V127" s="2" t="s">
        <v>48</v>
      </c>
      <c r="W127" s="2" t="s">
        <v>44</v>
      </c>
      <c r="X127" s="2">
        <v>30</v>
      </c>
      <c r="Y127" s="2">
        <v>22</v>
      </c>
      <c r="Z127" s="2">
        <v>7</v>
      </c>
      <c r="AA127" s="2">
        <v>2000</v>
      </c>
      <c r="AB127" s="2" t="s">
        <v>69</v>
      </c>
      <c r="AC127" s="2" t="s">
        <v>50</v>
      </c>
      <c r="AD127" s="2">
        <v>2</v>
      </c>
      <c r="AE127" s="2">
        <v>7.1999999999999995E-2</v>
      </c>
      <c r="AF127" s="2">
        <v>0.42799999999999999</v>
      </c>
      <c r="AG127" s="2">
        <v>-1830</v>
      </c>
      <c r="AH127" s="2">
        <v>-2</v>
      </c>
      <c r="AI127" s="2">
        <v>0.23</v>
      </c>
      <c r="AJ127" s="2">
        <v>0.379</v>
      </c>
      <c r="AK127" s="2">
        <v>-1080</v>
      </c>
      <c r="AL127" s="2">
        <v>30</v>
      </c>
      <c r="AM127" s="2" t="s">
        <v>44</v>
      </c>
      <c r="AN127" s="2">
        <v>3.5</v>
      </c>
      <c r="AO127" s="2" t="s">
        <v>124</v>
      </c>
      <c r="AP127" s="2">
        <v>1</v>
      </c>
      <c r="AQ127" s="2">
        <v>293</v>
      </c>
    </row>
    <row r="128" spans="1:43" x14ac:dyDescent="0.2">
      <c r="A128" s="2" t="s">
        <v>42</v>
      </c>
      <c r="B128" s="2" t="s">
        <v>43</v>
      </c>
      <c r="C128" s="2">
        <v>86.14</v>
      </c>
      <c r="D128" s="2" t="s">
        <v>122</v>
      </c>
      <c r="E128" s="2" t="s">
        <v>123</v>
      </c>
      <c r="F128" s="2">
        <v>160.26</v>
      </c>
      <c r="G128" s="2">
        <v>0.82</v>
      </c>
      <c r="H128" s="2">
        <v>2</v>
      </c>
      <c r="I128" s="2" t="s">
        <v>45</v>
      </c>
      <c r="J128" s="2" t="s">
        <v>46</v>
      </c>
      <c r="K128" s="2">
        <v>265.5</v>
      </c>
      <c r="L128" s="2">
        <v>0.1</v>
      </c>
      <c r="M128" s="2" t="s">
        <v>47</v>
      </c>
      <c r="N128" s="2" t="s">
        <v>44</v>
      </c>
      <c r="O128" s="2" t="s">
        <v>44</v>
      </c>
      <c r="P128" s="2" t="s">
        <v>44</v>
      </c>
      <c r="Q128" s="2" t="s">
        <v>44</v>
      </c>
      <c r="R128" s="2">
        <v>2.1</v>
      </c>
      <c r="S128" s="3">
        <f t="shared" si="1"/>
        <v>45.98</v>
      </c>
      <c r="T128" s="2" t="s">
        <v>44</v>
      </c>
      <c r="U128" s="2" t="s">
        <v>44</v>
      </c>
      <c r="V128" s="2" t="s">
        <v>48</v>
      </c>
      <c r="W128" s="2" t="s">
        <v>44</v>
      </c>
      <c r="X128" s="2">
        <v>30</v>
      </c>
      <c r="Y128" s="2">
        <v>22</v>
      </c>
      <c r="Z128" s="2">
        <v>7</v>
      </c>
      <c r="AA128" s="2">
        <v>2000</v>
      </c>
      <c r="AB128" s="2" t="s">
        <v>49</v>
      </c>
      <c r="AC128" s="2" t="s">
        <v>50</v>
      </c>
      <c r="AD128" s="2">
        <v>1</v>
      </c>
      <c r="AE128" s="2">
        <v>0.10199999999999999</v>
      </c>
      <c r="AF128" s="2">
        <v>0.35799999999999998</v>
      </c>
      <c r="AG128" s="2">
        <v>-365</v>
      </c>
      <c r="AH128" s="2">
        <v>-2</v>
      </c>
      <c r="AI128" s="2">
        <v>0.23</v>
      </c>
      <c r="AJ128" s="2">
        <v>0.379</v>
      </c>
      <c r="AK128" s="2">
        <v>-1080</v>
      </c>
      <c r="AL128" s="2">
        <v>30</v>
      </c>
      <c r="AM128" s="2" t="s">
        <v>44</v>
      </c>
      <c r="AN128" s="2">
        <v>3.5</v>
      </c>
      <c r="AO128" s="2" t="s">
        <v>124</v>
      </c>
      <c r="AP128" s="2">
        <v>1</v>
      </c>
      <c r="AQ128" s="2">
        <v>294</v>
      </c>
    </row>
    <row r="129" spans="1:43" x14ac:dyDescent="0.2">
      <c r="A129" s="2" t="s">
        <v>42</v>
      </c>
      <c r="B129" s="2" t="s">
        <v>43</v>
      </c>
      <c r="C129" s="2">
        <v>86.14</v>
      </c>
      <c r="D129" s="2" t="s">
        <v>135</v>
      </c>
      <c r="E129" s="2" t="s">
        <v>136</v>
      </c>
      <c r="F129" s="2">
        <v>152.15</v>
      </c>
      <c r="G129" s="2">
        <v>39</v>
      </c>
      <c r="H129" s="2">
        <v>1.95</v>
      </c>
      <c r="I129" s="2" t="s">
        <v>45</v>
      </c>
      <c r="J129" s="2" t="s">
        <v>46</v>
      </c>
      <c r="K129" s="2">
        <v>265.5</v>
      </c>
      <c r="L129" s="2">
        <v>7.5999999999999998E-2</v>
      </c>
      <c r="M129" s="2" t="s">
        <v>47</v>
      </c>
      <c r="N129" s="2" t="s">
        <v>44</v>
      </c>
      <c r="O129" s="2" t="s">
        <v>44</v>
      </c>
      <c r="P129" s="2" t="s">
        <v>44</v>
      </c>
      <c r="Q129" s="2" t="s">
        <v>44</v>
      </c>
      <c r="R129" s="2">
        <v>2.0259999999999998</v>
      </c>
      <c r="S129" s="3">
        <f t="shared" ref="S129:S192" si="2">ROUND(IF(G129="-", (H129/C129)/(L129/K129), ((G129*H129/C129) + (H129/F129)) / (1+G129) / (L129/K129)),2)</f>
        <v>78.22</v>
      </c>
      <c r="T129" s="2" t="s">
        <v>44</v>
      </c>
      <c r="U129" s="2" t="s">
        <v>44</v>
      </c>
      <c r="V129" s="2" t="s">
        <v>48</v>
      </c>
      <c r="W129" s="2" t="s">
        <v>44</v>
      </c>
      <c r="X129" s="2" t="s">
        <v>44</v>
      </c>
      <c r="Y129" s="2" t="s">
        <v>44</v>
      </c>
      <c r="Z129" s="2">
        <v>4.5</v>
      </c>
      <c r="AA129" s="2">
        <v>585</v>
      </c>
      <c r="AB129" s="2" t="s">
        <v>49</v>
      </c>
      <c r="AC129" s="2" t="s">
        <v>52</v>
      </c>
      <c r="AD129" s="2">
        <v>1</v>
      </c>
      <c r="AE129" s="2">
        <v>0.10199999999999999</v>
      </c>
      <c r="AF129" s="2">
        <v>0.35799999999999998</v>
      </c>
      <c r="AG129" s="2">
        <v>-365</v>
      </c>
      <c r="AH129" s="2">
        <v>-1</v>
      </c>
      <c r="AI129" s="2">
        <v>0.18099999999999999</v>
      </c>
      <c r="AJ129" s="2">
        <v>0.33200000000000002</v>
      </c>
      <c r="AK129" s="2">
        <v>-340</v>
      </c>
      <c r="AL129" s="2">
        <v>10</v>
      </c>
      <c r="AM129" s="2" t="s">
        <v>44</v>
      </c>
      <c r="AN129" s="2">
        <v>3.5</v>
      </c>
      <c r="AO129" s="2" t="s">
        <v>137</v>
      </c>
      <c r="AP129" s="2">
        <v>1</v>
      </c>
      <c r="AQ129" s="2">
        <v>295</v>
      </c>
    </row>
    <row r="130" spans="1:43" x14ac:dyDescent="0.2">
      <c r="A130" s="2" t="s">
        <v>42</v>
      </c>
      <c r="B130" s="2" t="s">
        <v>43</v>
      </c>
      <c r="C130" s="2">
        <v>86.14</v>
      </c>
      <c r="D130" s="2" t="s">
        <v>135</v>
      </c>
      <c r="E130" s="2" t="s">
        <v>136</v>
      </c>
      <c r="F130" s="2">
        <v>152.15</v>
      </c>
      <c r="G130" s="2">
        <v>39</v>
      </c>
      <c r="H130" s="2">
        <v>1.95</v>
      </c>
      <c r="I130" s="2" t="s">
        <v>45</v>
      </c>
      <c r="J130" s="2" t="s">
        <v>46</v>
      </c>
      <c r="K130" s="2">
        <v>265.5</v>
      </c>
      <c r="L130" s="2">
        <v>0.22900000000000001</v>
      </c>
      <c r="M130" s="2" t="s">
        <v>47</v>
      </c>
      <c r="N130" s="2" t="s">
        <v>44</v>
      </c>
      <c r="O130" s="2" t="s">
        <v>44</v>
      </c>
      <c r="P130" s="2" t="s">
        <v>44</v>
      </c>
      <c r="Q130" s="2" t="s">
        <v>44</v>
      </c>
      <c r="R130" s="2">
        <v>2.1789999999999998</v>
      </c>
      <c r="S130" s="3">
        <f t="shared" si="2"/>
        <v>25.96</v>
      </c>
      <c r="T130" s="2" t="s">
        <v>44</v>
      </c>
      <c r="U130" s="2" t="s">
        <v>44</v>
      </c>
      <c r="V130" s="2" t="s">
        <v>48</v>
      </c>
      <c r="W130" s="2" t="s">
        <v>44</v>
      </c>
      <c r="X130" s="2" t="s">
        <v>44</v>
      </c>
      <c r="Y130" s="2" t="s">
        <v>44</v>
      </c>
      <c r="Z130" s="2">
        <v>4.5</v>
      </c>
      <c r="AA130" s="2">
        <v>100</v>
      </c>
      <c r="AB130" s="2" t="s">
        <v>127</v>
      </c>
      <c r="AC130" s="2" t="s">
        <v>50</v>
      </c>
      <c r="AD130" s="2">
        <v>2</v>
      </c>
      <c r="AE130" s="2">
        <v>7.2999999999999995E-2</v>
      </c>
      <c r="AF130" s="2">
        <v>0.41899999999999998</v>
      </c>
      <c r="AG130" s="2">
        <v>-2010</v>
      </c>
      <c r="AH130" s="2">
        <v>-2</v>
      </c>
      <c r="AI130" s="2">
        <v>0.23</v>
      </c>
      <c r="AJ130" s="2">
        <v>0.379</v>
      </c>
      <c r="AK130" s="2">
        <v>-1080</v>
      </c>
      <c r="AL130" s="2">
        <v>5</v>
      </c>
      <c r="AM130" s="2" t="s">
        <v>44</v>
      </c>
      <c r="AN130" s="2">
        <v>3.5</v>
      </c>
      <c r="AO130" s="2" t="s">
        <v>137</v>
      </c>
      <c r="AP130" s="2">
        <v>1</v>
      </c>
      <c r="AQ130" s="2">
        <v>296</v>
      </c>
    </row>
    <row r="131" spans="1:43" x14ac:dyDescent="0.2">
      <c r="A131" s="2" t="s">
        <v>146</v>
      </c>
      <c r="B131" s="2" t="s">
        <v>147</v>
      </c>
      <c r="C131" s="2">
        <v>129.19900000000001</v>
      </c>
      <c r="D131" s="2" t="s">
        <v>44</v>
      </c>
      <c r="E131" s="2"/>
      <c r="F131" s="2"/>
      <c r="G131" s="2" t="s">
        <v>44</v>
      </c>
      <c r="H131" s="2">
        <v>1</v>
      </c>
      <c r="I131" s="2" t="s">
        <v>45</v>
      </c>
      <c r="J131" s="2" t="s">
        <v>46</v>
      </c>
      <c r="K131" s="2">
        <v>265.5</v>
      </c>
      <c r="L131" s="2">
        <v>0.13</v>
      </c>
      <c r="M131" s="2" t="s">
        <v>98</v>
      </c>
      <c r="N131" s="2" t="s">
        <v>44</v>
      </c>
      <c r="O131" s="2" t="s">
        <v>44</v>
      </c>
      <c r="P131" s="2" t="s">
        <v>44</v>
      </c>
      <c r="Q131" s="2" t="s">
        <v>44</v>
      </c>
      <c r="R131" s="2">
        <v>1.1299999999999999</v>
      </c>
      <c r="S131" s="3">
        <f t="shared" si="2"/>
        <v>15.81</v>
      </c>
      <c r="T131" s="2" t="s">
        <v>44</v>
      </c>
      <c r="U131" s="2" t="s">
        <v>44</v>
      </c>
      <c r="V131" s="2" t="s">
        <v>48</v>
      </c>
      <c r="W131" s="2" t="s">
        <v>44</v>
      </c>
      <c r="X131" s="2" t="s">
        <v>44</v>
      </c>
      <c r="Y131" s="2">
        <v>25</v>
      </c>
      <c r="Z131" s="2">
        <v>10</v>
      </c>
      <c r="AA131" s="2">
        <v>3000</v>
      </c>
      <c r="AB131" s="2" t="s">
        <v>49</v>
      </c>
      <c r="AC131" s="2" t="s">
        <v>50</v>
      </c>
      <c r="AD131" s="2">
        <v>1</v>
      </c>
      <c r="AE131" s="2">
        <v>0.10199999999999999</v>
      </c>
      <c r="AF131" s="2">
        <v>0.35799999999999998</v>
      </c>
      <c r="AG131" s="2">
        <v>-365</v>
      </c>
      <c r="AH131" s="2">
        <v>-2</v>
      </c>
      <c r="AI131" s="2">
        <v>0.23</v>
      </c>
      <c r="AJ131" s="2">
        <v>0.379</v>
      </c>
      <c r="AK131" s="2">
        <v>-1080</v>
      </c>
      <c r="AL131" s="2">
        <v>10</v>
      </c>
      <c r="AM131" s="2" t="s">
        <v>44</v>
      </c>
      <c r="AN131" s="2">
        <v>3.5</v>
      </c>
      <c r="AO131" s="2" t="s">
        <v>99</v>
      </c>
      <c r="AP131" s="2">
        <v>1</v>
      </c>
      <c r="AQ131" s="2">
        <v>297</v>
      </c>
    </row>
    <row r="132" spans="1:43" x14ac:dyDescent="0.2">
      <c r="A132" s="2" t="s">
        <v>42</v>
      </c>
      <c r="B132" s="2" t="s">
        <v>43</v>
      </c>
      <c r="C132" s="2">
        <v>86.14</v>
      </c>
      <c r="D132" s="2" t="s">
        <v>44</v>
      </c>
      <c r="E132" s="2"/>
      <c r="F132" s="2"/>
      <c r="G132" s="2" t="s">
        <v>44</v>
      </c>
      <c r="H132" s="2">
        <v>3</v>
      </c>
      <c r="I132" s="2" t="s">
        <v>45</v>
      </c>
      <c r="J132" s="2" t="s">
        <v>46</v>
      </c>
      <c r="K132" s="2">
        <v>265.5</v>
      </c>
      <c r="L132" s="2">
        <v>0.2</v>
      </c>
      <c r="M132" s="2" t="s">
        <v>47</v>
      </c>
      <c r="N132" s="2" t="s">
        <v>44</v>
      </c>
      <c r="O132" s="2" t="s">
        <v>44</v>
      </c>
      <c r="P132" s="2" t="s">
        <v>44</v>
      </c>
      <c r="Q132" s="2" t="s">
        <v>44</v>
      </c>
      <c r="R132" s="2">
        <v>3.2</v>
      </c>
      <c r="S132" s="3">
        <f t="shared" si="2"/>
        <v>46.23</v>
      </c>
      <c r="T132" s="2" t="s">
        <v>44</v>
      </c>
      <c r="U132" s="2" t="s">
        <v>44</v>
      </c>
      <c r="V132" s="2" t="s">
        <v>48</v>
      </c>
      <c r="W132" s="2" t="s">
        <v>44</v>
      </c>
      <c r="X132" s="2">
        <v>8</v>
      </c>
      <c r="Y132" s="2">
        <v>70</v>
      </c>
      <c r="Z132" s="2">
        <v>6</v>
      </c>
      <c r="AA132" s="2">
        <v>2000</v>
      </c>
      <c r="AB132" s="2" t="s">
        <v>49</v>
      </c>
      <c r="AC132" s="2" t="s">
        <v>50</v>
      </c>
      <c r="AD132" s="2">
        <v>1</v>
      </c>
      <c r="AE132" s="2">
        <v>0.10199999999999999</v>
      </c>
      <c r="AF132" s="2">
        <v>0.35799999999999998</v>
      </c>
      <c r="AG132" s="2">
        <v>-365</v>
      </c>
      <c r="AH132" s="2">
        <v>-2</v>
      </c>
      <c r="AI132" s="2">
        <v>0.23</v>
      </c>
      <c r="AJ132" s="2">
        <v>0.379</v>
      </c>
      <c r="AK132" s="2">
        <v>-1080</v>
      </c>
      <c r="AL132" s="2">
        <v>60</v>
      </c>
      <c r="AM132" s="2" t="s">
        <v>44</v>
      </c>
      <c r="AN132" s="2">
        <v>3.5</v>
      </c>
      <c r="AO132" s="2" t="s">
        <v>100</v>
      </c>
      <c r="AP132" s="2">
        <v>1</v>
      </c>
      <c r="AQ132" s="2">
        <v>300</v>
      </c>
    </row>
    <row r="133" spans="1:43" x14ac:dyDescent="0.2">
      <c r="A133" s="2" t="s">
        <v>77</v>
      </c>
      <c r="B133" s="2" t="s">
        <v>78</v>
      </c>
      <c r="C133" s="2">
        <v>114.19</v>
      </c>
      <c r="D133" s="2" t="s">
        <v>44</v>
      </c>
      <c r="E133" s="2"/>
      <c r="F133" s="2"/>
      <c r="G133" s="2" t="s">
        <v>44</v>
      </c>
      <c r="H133" s="2">
        <v>3</v>
      </c>
      <c r="I133" s="2" t="s">
        <v>45</v>
      </c>
      <c r="J133" s="2" t="s">
        <v>46</v>
      </c>
      <c r="K133" s="2">
        <v>265.5</v>
      </c>
      <c r="L133" s="2">
        <v>0.15</v>
      </c>
      <c r="M133" s="2" t="s">
        <v>47</v>
      </c>
      <c r="N133" s="2" t="s">
        <v>44</v>
      </c>
      <c r="O133" s="2" t="s">
        <v>44</v>
      </c>
      <c r="P133" s="2" t="s">
        <v>44</v>
      </c>
      <c r="Q133" s="2" t="s">
        <v>44</v>
      </c>
      <c r="R133" s="2">
        <v>3.15</v>
      </c>
      <c r="S133" s="3">
        <f t="shared" si="2"/>
        <v>46.5</v>
      </c>
      <c r="T133" s="2" t="s">
        <v>44</v>
      </c>
      <c r="U133" s="2" t="s">
        <v>44</v>
      </c>
      <c r="V133" s="2" t="s">
        <v>48</v>
      </c>
      <c r="W133" s="2" t="s">
        <v>44</v>
      </c>
      <c r="X133" s="2">
        <v>5</v>
      </c>
      <c r="Y133" s="2">
        <v>80</v>
      </c>
      <c r="Z133" s="2">
        <v>6</v>
      </c>
      <c r="AA133" s="2">
        <v>2000</v>
      </c>
      <c r="AB133" s="2" t="s">
        <v>49</v>
      </c>
      <c r="AC133" s="2" t="s">
        <v>50</v>
      </c>
      <c r="AD133" s="2">
        <v>1</v>
      </c>
      <c r="AE133" s="2">
        <v>0.10199999999999999</v>
      </c>
      <c r="AF133" s="2">
        <v>0.35799999999999998</v>
      </c>
      <c r="AG133" s="2">
        <v>-365</v>
      </c>
      <c r="AH133" s="2">
        <v>-2</v>
      </c>
      <c r="AI133" s="2">
        <v>0.23</v>
      </c>
      <c r="AJ133" s="2">
        <v>0.379</v>
      </c>
      <c r="AK133" s="2">
        <v>-1080</v>
      </c>
      <c r="AL133" s="2">
        <v>15</v>
      </c>
      <c r="AM133" s="2" t="s">
        <v>44</v>
      </c>
      <c r="AN133" s="2">
        <v>3.5</v>
      </c>
      <c r="AO133" s="2" t="s">
        <v>80</v>
      </c>
      <c r="AP133" s="2">
        <v>1</v>
      </c>
      <c r="AQ133" s="2">
        <v>301</v>
      </c>
    </row>
    <row r="134" spans="1:43" x14ac:dyDescent="0.2">
      <c r="A134" s="6" t="s">
        <v>59</v>
      </c>
      <c r="B134" s="6" t="s">
        <v>60</v>
      </c>
      <c r="C134" s="6">
        <v>43.1</v>
      </c>
      <c r="D134" s="6" t="s">
        <v>44</v>
      </c>
      <c r="E134" s="6"/>
      <c r="F134" s="6"/>
      <c r="G134" s="6" t="s">
        <v>44</v>
      </c>
      <c r="H134" s="6">
        <v>2.5</v>
      </c>
      <c r="I134" s="6" t="s">
        <v>45</v>
      </c>
      <c r="J134" s="6" t="s">
        <v>46</v>
      </c>
      <c r="K134" s="6">
        <v>265.5</v>
      </c>
      <c r="L134" s="6">
        <v>0.4</v>
      </c>
      <c r="M134" s="6" t="s">
        <v>47</v>
      </c>
      <c r="N134" s="6" t="s">
        <v>61</v>
      </c>
      <c r="O134" s="6">
        <v>0.1</v>
      </c>
      <c r="P134" s="6" t="s">
        <v>44</v>
      </c>
      <c r="Q134" s="6" t="s">
        <v>44</v>
      </c>
      <c r="R134" s="6">
        <v>2.9</v>
      </c>
      <c r="S134" s="7">
        <f t="shared" si="2"/>
        <v>38.5</v>
      </c>
      <c r="T134" s="6">
        <v>9.5</v>
      </c>
      <c r="U134" s="6" t="s">
        <v>44</v>
      </c>
      <c r="V134" s="6" t="s">
        <v>48</v>
      </c>
      <c r="W134" s="6" t="s">
        <v>44</v>
      </c>
      <c r="X134" s="6">
        <v>20</v>
      </c>
      <c r="Y134" s="6">
        <v>95</v>
      </c>
      <c r="Z134" s="6">
        <v>8</v>
      </c>
      <c r="AA134" s="6">
        <v>500</v>
      </c>
      <c r="AB134" s="6" t="s">
        <v>49</v>
      </c>
      <c r="AC134" s="6" t="s">
        <v>50</v>
      </c>
      <c r="AD134" s="6">
        <v>1</v>
      </c>
      <c r="AE134" s="6">
        <v>0.10199999999999999</v>
      </c>
      <c r="AF134" s="6">
        <v>0.35799999999999998</v>
      </c>
      <c r="AG134" s="6">
        <v>-365</v>
      </c>
      <c r="AH134" s="6">
        <v>-2</v>
      </c>
      <c r="AI134" s="6">
        <v>0.23</v>
      </c>
      <c r="AJ134" s="6">
        <v>0.379</v>
      </c>
      <c r="AK134" s="6">
        <v>-1080</v>
      </c>
      <c r="AL134" s="6">
        <v>1800</v>
      </c>
      <c r="AM134" s="6" t="s">
        <v>44</v>
      </c>
      <c r="AN134" s="6">
        <v>3.6</v>
      </c>
      <c r="AO134" s="6" t="s">
        <v>62</v>
      </c>
      <c r="AP134" s="6">
        <v>1</v>
      </c>
      <c r="AQ134" s="6">
        <v>223</v>
      </c>
    </row>
    <row r="135" spans="1:43" x14ac:dyDescent="0.2">
      <c r="A135" s="6" t="s">
        <v>59</v>
      </c>
      <c r="B135" s="6" t="s">
        <v>60</v>
      </c>
      <c r="C135" s="6">
        <v>43.1</v>
      </c>
      <c r="D135" s="6" t="s">
        <v>44</v>
      </c>
      <c r="E135" s="6"/>
      <c r="F135" s="6"/>
      <c r="G135" s="6" t="s">
        <v>44</v>
      </c>
      <c r="H135" s="6">
        <v>2.5</v>
      </c>
      <c r="I135" s="6" t="s">
        <v>45</v>
      </c>
      <c r="J135" s="6" t="s">
        <v>46</v>
      </c>
      <c r="K135" s="6">
        <v>265.5</v>
      </c>
      <c r="L135" s="6">
        <v>0.4</v>
      </c>
      <c r="M135" s="6" t="s">
        <v>47</v>
      </c>
      <c r="N135" s="6" t="s">
        <v>61</v>
      </c>
      <c r="O135" s="6">
        <v>0.1</v>
      </c>
      <c r="P135" s="6" t="s">
        <v>44</v>
      </c>
      <c r="Q135" s="6" t="s">
        <v>44</v>
      </c>
      <c r="R135" s="6">
        <v>2.9</v>
      </c>
      <c r="S135" s="7">
        <f t="shared" si="2"/>
        <v>38.5</v>
      </c>
      <c r="T135" s="6">
        <v>9.5</v>
      </c>
      <c r="U135" s="6" t="s">
        <v>44</v>
      </c>
      <c r="V135" s="6" t="s">
        <v>48</v>
      </c>
      <c r="W135" s="6" t="s">
        <v>44</v>
      </c>
      <c r="X135" s="6">
        <v>20</v>
      </c>
      <c r="Y135" s="6">
        <v>95</v>
      </c>
      <c r="Z135" s="6">
        <v>8</v>
      </c>
      <c r="AA135" s="6">
        <v>500</v>
      </c>
      <c r="AB135" s="6" t="s">
        <v>49</v>
      </c>
      <c r="AC135" s="6" t="s">
        <v>52</v>
      </c>
      <c r="AD135" s="6">
        <v>1</v>
      </c>
      <c r="AE135" s="6">
        <v>0.10199999999999999</v>
      </c>
      <c r="AF135" s="6">
        <v>0.35799999999999998</v>
      </c>
      <c r="AG135" s="6">
        <v>-365</v>
      </c>
      <c r="AH135" s="6">
        <v>-1</v>
      </c>
      <c r="AI135" s="6">
        <v>0.18099999999999999</v>
      </c>
      <c r="AJ135" s="6">
        <v>0.33200000000000002</v>
      </c>
      <c r="AK135" s="6">
        <v>-340</v>
      </c>
      <c r="AL135" s="6">
        <v>1800</v>
      </c>
      <c r="AM135" s="6" t="s">
        <v>44</v>
      </c>
      <c r="AN135" s="6">
        <v>3.6</v>
      </c>
      <c r="AO135" s="6" t="s">
        <v>62</v>
      </c>
      <c r="AP135" s="6">
        <v>1</v>
      </c>
      <c r="AQ135" s="6">
        <v>224</v>
      </c>
    </row>
    <row r="136" spans="1:43" x14ac:dyDescent="0.2">
      <c r="A136" s="6" t="s">
        <v>89</v>
      </c>
      <c r="B136" s="6" t="s">
        <v>90</v>
      </c>
      <c r="C136" s="6">
        <v>136.15</v>
      </c>
      <c r="D136" s="6" t="s">
        <v>44</v>
      </c>
      <c r="E136" s="6"/>
      <c r="F136" s="6"/>
      <c r="G136" s="6" t="s">
        <v>44</v>
      </c>
      <c r="H136" s="6">
        <v>1</v>
      </c>
      <c r="I136" s="6" t="s">
        <v>45</v>
      </c>
      <c r="J136" s="6" t="s">
        <v>46</v>
      </c>
      <c r="K136" s="6">
        <v>265.5</v>
      </c>
      <c r="L136" s="6">
        <v>0.45600000000000002</v>
      </c>
      <c r="M136" s="6" t="s">
        <v>47</v>
      </c>
      <c r="N136" s="6" t="s">
        <v>44</v>
      </c>
      <c r="O136" s="6" t="s">
        <v>44</v>
      </c>
      <c r="P136" s="6" t="s">
        <v>91</v>
      </c>
      <c r="Q136" s="6" t="s">
        <v>44</v>
      </c>
      <c r="R136" s="6">
        <v>1.456</v>
      </c>
      <c r="S136" s="7">
        <f t="shared" si="2"/>
        <v>4.28</v>
      </c>
      <c r="T136" s="6">
        <v>12</v>
      </c>
      <c r="U136" s="6" t="s">
        <v>44</v>
      </c>
      <c r="V136" s="6" t="s">
        <v>48</v>
      </c>
      <c r="W136" s="6" t="s">
        <v>44</v>
      </c>
      <c r="X136" s="6">
        <v>40</v>
      </c>
      <c r="Y136" s="6">
        <v>60</v>
      </c>
      <c r="Z136" s="6">
        <v>5</v>
      </c>
      <c r="AA136" s="6">
        <v>1000</v>
      </c>
      <c r="AB136" s="6" t="s">
        <v>49</v>
      </c>
      <c r="AC136" s="6" t="s">
        <v>50</v>
      </c>
      <c r="AD136" s="6">
        <v>1</v>
      </c>
      <c r="AE136" s="6">
        <v>0.10199999999999999</v>
      </c>
      <c r="AF136" s="6">
        <v>0.35799999999999998</v>
      </c>
      <c r="AG136" s="6">
        <v>-365</v>
      </c>
      <c r="AH136" s="6">
        <v>-2</v>
      </c>
      <c r="AI136" s="6">
        <v>0.23</v>
      </c>
      <c r="AJ136" s="6">
        <v>0.379</v>
      </c>
      <c r="AK136" s="6">
        <v>-1080</v>
      </c>
      <c r="AL136" s="6">
        <v>1200</v>
      </c>
      <c r="AM136" s="6" t="s">
        <v>44</v>
      </c>
      <c r="AN136" s="6">
        <v>3.6</v>
      </c>
      <c r="AO136" s="6" t="s">
        <v>92</v>
      </c>
      <c r="AP136" s="6">
        <v>1</v>
      </c>
      <c r="AQ136" s="6">
        <v>285</v>
      </c>
    </row>
    <row r="137" spans="1:43" x14ac:dyDescent="0.2">
      <c r="A137" s="6" t="s">
        <v>42</v>
      </c>
      <c r="B137" s="6" t="s">
        <v>43</v>
      </c>
      <c r="C137" s="6">
        <v>86.14</v>
      </c>
      <c r="D137" s="6" t="s">
        <v>135</v>
      </c>
      <c r="E137" s="6" t="s">
        <v>136</v>
      </c>
      <c r="F137" s="6">
        <v>152.15</v>
      </c>
      <c r="G137" s="6">
        <v>39</v>
      </c>
      <c r="H137" s="6">
        <v>1.95</v>
      </c>
      <c r="I137" s="6" t="s">
        <v>45</v>
      </c>
      <c r="J137" s="6" t="s">
        <v>46</v>
      </c>
      <c r="K137" s="6">
        <v>265.5</v>
      </c>
      <c r="L137" s="6">
        <v>7.6300000000000007E-2</v>
      </c>
      <c r="M137" s="6" t="s">
        <v>47</v>
      </c>
      <c r="N137" s="6" t="s">
        <v>44</v>
      </c>
      <c r="O137" s="6" t="s">
        <v>44</v>
      </c>
      <c r="P137" s="6" t="s">
        <v>44</v>
      </c>
      <c r="Q137" s="6" t="s">
        <v>44</v>
      </c>
      <c r="R137" s="6">
        <v>2.0263</v>
      </c>
      <c r="S137" s="7">
        <f t="shared" si="2"/>
        <v>77.92</v>
      </c>
      <c r="T137" s="6" t="s">
        <v>44</v>
      </c>
      <c r="U137" s="6" t="s">
        <v>44</v>
      </c>
      <c r="V137" s="6" t="s">
        <v>48</v>
      </c>
      <c r="W137" s="6" t="s">
        <v>44</v>
      </c>
      <c r="X137" s="6" t="s">
        <v>44</v>
      </c>
      <c r="Y137" s="6" t="s">
        <v>44</v>
      </c>
      <c r="Z137" s="6">
        <v>4.5</v>
      </c>
      <c r="AA137" s="6">
        <v>100</v>
      </c>
      <c r="AB137" s="6" t="s">
        <v>127</v>
      </c>
      <c r="AC137" s="6" t="s">
        <v>50</v>
      </c>
      <c r="AD137" s="6">
        <v>2</v>
      </c>
      <c r="AE137" s="6">
        <v>7.2999999999999995E-2</v>
      </c>
      <c r="AF137" s="6">
        <v>0.41899999999999998</v>
      </c>
      <c r="AG137" s="6">
        <v>-2010</v>
      </c>
      <c r="AH137" s="6">
        <v>-2</v>
      </c>
      <c r="AI137" s="6">
        <v>0.23</v>
      </c>
      <c r="AJ137" s="6">
        <v>0.379</v>
      </c>
      <c r="AK137" s="6">
        <v>-1080</v>
      </c>
      <c r="AL137" s="6">
        <v>10</v>
      </c>
      <c r="AM137" s="6" t="s">
        <v>44</v>
      </c>
      <c r="AN137" s="6">
        <v>3.6</v>
      </c>
      <c r="AO137" s="6" t="s">
        <v>137</v>
      </c>
      <c r="AP137" s="6">
        <v>1</v>
      </c>
      <c r="AQ137" s="6">
        <v>286</v>
      </c>
    </row>
    <row r="138" spans="1:43" x14ac:dyDescent="0.2">
      <c r="A138" s="6" t="s">
        <v>144</v>
      </c>
      <c r="B138" s="6" t="s">
        <v>145</v>
      </c>
      <c r="C138" s="6">
        <v>200.32</v>
      </c>
      <c r="D138" s="6" t="s">
        <v>44</v>
      </c>
      <c r="E138" s="6"/>
      <c r="F138" s="6"/>
      <c r="G138" s="6" t="s">
        <v>44</v>
      </c>
      <c r="H138" s="6">
        <v>1</v>
      </c>
      <c r="I138" s="6" t="s">
        <v>45</v>
      </c>
      <c r="J138" s="6" t="s">
        <v>46</v>
      </c>
      <c r="K138" s="6">
        <v>265.5</v>
      </c>
      <c r="L138" s="6">
        <v>0.13</v>
      </c>
      <c r="M138" s="6" t="s">
        <v>98</v>
      </c>
      <c r="N138" s="6" t="s">
        <v>44</v>
      </c>
      <c r="O138" s="6" t="s">
        <v>44</v>
      </c>
      <c r="P138" s="6" t="s">
        <v>44</v>
      </c>
      <c r="Q138" s="6" t="s">
        <v>44</v>
      </c>
      <c r="R138" s="6">
        <v>1.1299999999999999</v>
      </c>
      <c r="S138" s="7">
        <f t="shared" si="2"/>
        <v>10.199999999999999</v>
      </c>
      <c r="T138" s="6" t="s">
        <v>44</v>
      </c>
      <c r="U138" s="6" t="s">
        <v>44</v>
      </c>
      <c r="V138" s="6" t="s">
        <v>48</v>
      </c>
      <c r="W138" s="6" t="s">
        <v>44</v>
      </c>
      <c r="X138" s="6" t="s">
        <v>44</v>
      </c>
      <c r="Y138" s="6">
        <v>25</v>
      </c>
      <c r="Z138" s="6">
        <v>10</v>
      </c>
      <c r="AA138" s="6">
        <v>3000</v>
      </c>
      <c r="AB138" s="6" t="s">
        <v>49</v>
      </c>
      <c r="AC138" s="6" t="s">
        <v>50</v>
      </c>
      <c r="AD138" s="6">
        <v>1</v>
      </c>
      <c r="AE138" s="6">
        <v>0.10199999999999999</v>
      </c>
      <c r="AF138" s="6">
        <v>0.35799999999999998</v>
      </c>
      <c r="AG138" s="6">
        <v>-365</v>
      </c>
      <c r="AH138" s="6">
        <v>-2</v>
      </c>
      <c r="AI138" s="6">
        <v>0.23</v>
      </c>
      <c r="AJ138" s="6">
        <v>0.379</v>
      </c>
      <c r="AK138" s="6">
        <v>-1080</v>
      </c>
      <c r="AL138" s="6">
        <v>10</v>
      </c>
      <c r="AM138" s="6" t="s">
        <v>44</v>
      </c>
      <c r="AN138" s="6">
        <v>3.6</v>
      </c>
      <c r="AO138" s="6" t="s">
        <v>99</v>
      </c>
      <c r="AP138" s="6">
        <v>1</v>
      </c>
      <c r="AQ138" s="6">
        <v>287</v>
      </c>
    </row>
    <row r="139" spans="1:43" x14ac:dyDescent="0.2">
      <c r="A139" s="6" t="s">
        <v>42</v>
      </c>
      <c r="B139" s="6" t="s">
        <v>43</v>
      </c>
      <c r="C139" s="6">
        <v>86.14</v>
      </c>
      <c r="D139" s="6" t="s">
        <v>44</v>
      </c>
      <c r="E139" s="6"/>
      <c r="F139" s="6"/>
      <c r="G139" s="6" t="s">
        <v>44</v>
      </c>
      <c r="H139" s="6">
        <v>0.35</v>
      </c>
      <c r="I139" s="6" t="s">
        <v>45</v>
      </c>
      <c r="J139" s="6" t="s">
        <v>46</v>
      </c>
      <c r="K139" s="6">
        <v>265.5</v>
      </c>
      <c r="L139" s="6">
        <v>0.2</v>
      </c>
      <c r="M139" s="6" t="s">
        <v>47</v>
      </c>
      <c r="N139" s="6" t="s">
        <v>44</v>
      </c>
      <c r="O139" s="6" t="s">
        <v>44</v>
      </c>
      <c r="P139" s="6" t="s">
        <v>44</v>
      </c>
      <c r="Q139" s="6" t="s">
        <v>44</v>
      </c>
      <c r="R139" s="6">
        <v>0.55000000000000004</v>
      </c>
      <c r="S139" s="7">
        <f t="shared" si="2"/>
        <v>5.39</v>
      </c>
      <c r="T139" s="6" t="s">
        <v>44</v>
      </c>
      <c r="U139" s="6" t="s">
        <v>44</v>
      </c>
      <c r="V139" s="6" t="s">
        <v>48</v>
      </c>
      <c r="W139" s="6" t="s">
        <v>44</v>
      </c>
      <c r="X139" s="6">
        <v>20</v>
      </c>
      <c r="Y139" s="6">
        <v>50</v>
      </c>
      <c r="Z139" s="6">
        <v>6</v>
      </c>
      <c r="AA139" s="6">
        <v>3000</v>
      </c>
      <c r="AB139" s="6" t="s">
        <v>69</v>
      </c>
      <c r="AC139" s="6" t="s">
        <v>50</v>
      </c>
      <c r="AD139" s="6">
        <v>2</v>
      </c>
      <c r="AE139" s="6">
        <v>7.1999999999999995E-2</v>
      </c>
      <c r="AF139" s="6">
        <v>0.42799999999999999</v>
      </c>
      <c r="AG139" s="6">
        <v>-1830</v>
      </c>
      <c r="AH139" s="6">
        <v>-2</v>
      </c>
      <c r="AI139" s="6">
        <v>0.23</v>
      </c>
      <c r="AJ139" s="6">
        <v>0.379</v>
      </c>
      <c r="AK139" s="6">
        <v>-1080</v>
      </c>
      <c r="AL139" s="6">
        <v>120</v>
      </c>
      <c r="AM139" s="6" t="s">
        <v>44</v>
      </c>
      <c r="AN139" s="6">
        <v>3.6</v>
      </c>
      <c r="AO139" s="6" t="s">
        <v>114</v>
      </c>
      <c r="AP139" s="6">
        <v>1</v>
      </c>
      <c r="AQ139" s="6">
        <v>288</v>
      </c>
    </row>
    <row r="140" spans="1:43" x14ac:dyDescent="0.2">
      <c r="A140" s="6" t="s">
        <v>42</v>
      </c>
      <c r="B140" s="6" t="s">
        <v>43</v>
      </c>
      <c r="C140" s="6">
        <v>86.14</v>
      </c>
      <c r="D140" s="6" t="s">
        <v>44</v>
      </c>
      <c r="E140" s="6"/>
      <c r="F140" s="6"/>
      <c r="G140" s="6" t="s">
        <v>44</v>
      </c>
      <c r="H140" s="6">
        <v>1</v>
      </c>
      <c r="I140" s="6" t="s">
        <v>45</v>
      </c>
      <c r="J140" s="6" t="s">
        <v>46</v>
      </c>
      <c r="K140" s="6">
        <v>265.5</v>
      </c>
      <c r="L140" s="6">
        <v>0.15</v>
      </c>
      <c r="M140" s="6" t="s">
        <v>47</v>
      </c>
      <c r="N140" s="6" t="s">
        <v>44</v>
      </c>
      <c r="O140" s="6" t="s">
        <v>44</v>
      </c>
      <c r="P140" s="6" t="s">
        <v>44</v>
      </c>
      <c r="Q140" s="6" t="s">
        <v>44</v>
      </c>
      <c r="R140" s="6">
        <v>1.1499999999999999</v>
      </c>
      <c r="S140" s="7">
        <f t="shared" si="2"/>
        <v>20.55</v>
      </c>
      <c r="T140" s="6" t="s">
        <v>44</v>
      </c>
      <c r="U140" s="6" t="s">
        <v>44</v>
      </c>
      <c r="V140" s="6" t="s">
        <v>48</v>
      </c>
      <c r="W140" s="6" t="s">
        <v>44</v>
      </c>
      <c r="X140" s="6">
        <v>15</v>
      </c>
      <c r="Y140" s="6">
        <v>60</v>
      </c>
      <c r="Z140" s="6">
        <v>6</v>
      </c>
      <c r="AA140" s="6">
        <v>2000</v>
      </c>
      <c r="AB140" s="6" t="s">
        <v>49</v>
      </c>
      <c r="AC140" s="6" t="s">
        <v>50</v>
      </c>
      <c r="AD140" s="6">
        <v>1</v>
      </c>
      <c r="AE140" s="6">
        <v>0.10199999999999999</v>
      </c>
      <c r="AF140" s="6">
        <v>0.35799999999999998</v>
      </c>
      <c r="AG140" s="6">
        <v>-365</v>
      </c>
      <c r="AH140" s="6">
        <v>-2</v>
      </c>
      <c r="AI140" s="6">
        <v>0.23</v>
      </c>
      <c r="AJ140" s="6">
        <v>0.379</v>
      </c>
      <c r="AK140" s="6">
        <v>-1080</v>
      </c>
      <c r="AL140" s="6">
        <v>60</v>
      </c>
      <c r="AM140" s="6" t="s">
        <v>44</v>
      </c>
      <c r="AN140" s="6">
        <v>3.6</v>
      </c>
      <c r="AO140" s="6" t="s">
        <v>139</v>
      </c>
      <c r="AP140" s="6">
        <v>1</v>
      </c>
      <c r="AQ140" s="6">
        <v>291</v>
      </c>
    </row>
    <row r="141" spans="1:43" x14ac:dyDescent="0.2">
      <c r="A141" s="6" t="s">
        <v>54</v>
      </c>
      <c r="B141" s="6" t="s">
        <v>55</v>
      </c>
      <c r="C141" s="6">
        <v>108.14</v>
      </c>
      <c r="D141" s="6" t="s">
        <v>44</v>
      </c>
      <c r="E141" s="6"/>
      <c r="F141" s="6"/>
      <c r="G141" s="6" t="s">
        <v>44</v>
      </c>
      <c r="H141" s="6">
        <v>1</v>
      </c>
      <c r="I141" s="6" t="s">
        <v>56</v>
      </c>
      <c r="J141" s="6" t="s">
        <v>57</v>
      </c>
      <c r="K141" s="6">
        <v>203.02</v>
      </c>
      <c r="L141" s="6">
        <v>0.1</v>
      </c>
      <c r="M141" s="6" t="s">
        <v>47</v>
      </c>
      <c r="N141" s="6" t="s">
        <v>44</v>
      </c>
      <c r="O141" s="6" t="s">
        <v>44</v>
      </c>
      <c r="P141" s="6" t="s">
        <v>44</v>
      </c>
      <c r="Q141" s="6" t="s">
        <v>44</v>
      </c>
      <c r="R141" s="6">
        <v>1.1000000000000001</v>
      </c>
      <c r="S141" s="7">
        <f t="shared" si="2"/>
        <v>18.77</v>
      </c>
      <c r="T141" s="6" t="s">
        <v>44</v>
      </c>
      <c r="U141" s="6" t="s">
        <v>44</v>
      </c>
      <c r="V141" s="6" t="s">
        <v>48</v>
      </c>
      <c r="W141" s="6" t="s">
        <v>44</v>
      </c>
      <c r="X141" s="6">
        <v>5</v>
      </c>
      <c r="Y141" s="6">
        <v>80</v>
      </c>
      <c r="Z141" s="6">
        <v>10.3</v>
      </c>
      <c r="AA141" s="6">
        <v>2000</v>
      </c>
      <c r="AB141" s="6" t="s">
        <v>49</v>
      </c>
      <c r="AC141" s="6" t="s">
        <v>52</v>
      </c>
      <c r="AD141" s="6">
        <v>1</v>
      </c>
      <c r="AE141" s="6">
        <v>0.10199999999999999</v>
      </c>
      <c r="AF141" s="6">
        <v>0.35799999999999998</v>
      </c>
      <c r="AG141" s="6">
        <v>-365</v>
      </c>
      <c r="AH141" s="6">
        <v>-1</v>
      </c>
      <c r="AI141" s="6">
        <v>0.18099999999999999</v>
      </c>
      <c r="AJ141" s="6">
        <v>0.33200000000000002</v>
      </c>
      <c r="AK141" s="6">
        <v>-340</v>
      </c>
      <c r="AL141" s="6">
        <v>90</v>
      </c>
      <c r="AM141" s="6" t="s">
        <v>44</v>
      </c>
      <c r="AN141" s="6">
        <v>3.6</v>
      </c>
      <c r="AO141" s="6" t="s">
        <v>58</v>
      </c>
      <c r="AP141" s="6">
        <v>1</v>
      </c>
      <c r="AQ141" s="6">
        <v>292</v>
      </c>
    </row>
    <row r="142" spans="1:43" x14ac:dyDescent="0.2">
      <c r="A142" s="8" t="s">
        <v>59</v>
      </c>
      <c r="B142" s="8" t="s">
        <v>60</v>
      </c>
      <c r="C142" s="8">
        <v>43.1</v>
      </c>
      <c r="D142" s="8" t="s">
        <v>44</v>
      </c>
      <c r="E142" s="8"/>
      <c r="F142" s="8"/>
      <c r="G142" s="8" t="s">
        <v>44</v>
      </c>
      <c r="H142" s="8">
        <v>2</v>
      </c>
      <c r="I142" s="8" t="s">
        <v>45</v>
      </c>
      <c r="J142" s="8" t="s">
        <v>46</v>
      </c>
      <c r="K142" s="8">
        <v>265.5</v>
      </c>
      <c r="L142" s="8">
        <v>0.4</v>
      </c>
      <c r="M142" s="8" t="s">
        <v>47</v>
      </c>
      <c r="N142" s="8" t="s">
        <v>61</v>
      </c>
      <c r="O142" s="8">
        <v>0.1</v>
      </c>
      <c r="P142" s="8" t="s">
        <v>44</v>
      </c>
      <c r="Q142" s="8" t="s">
        <v>44</v>
      </c>
      <c r="R142" s="8">
        <v>2.4</v>
      </c>
      <c r="S142" s="9">
        <f t="shared" si="2"/>
        <v>30.8</v>
      </c>
      <c r="T142" s="8">
        <v>9.5</v>
      </c>
      <c r="U142" s="8" t="s">
        <v>44</v>
      </c>
      <c r="V142" s="8" t="s">
        <v>48</v>
      </c>
      <c r="W142" s="8" t="s">
        <v>44</v>
      </c>
      <c r="X142" s="8">
        <v>20</v>
      </c>
      <c r="Y142" s="8">
        <v>95</v>
      </c>
      <c r="Z142" s="8">
        <v>8</v>
      </c>
      <c r="AA142" s="8">
        <v>500</v>
      </c>
      <c r="AB142" s="8" t="s">
        <v>49</v>
      </c>
      <c r="AC142" s="8" t="s">
        <v>50</v>
      </c>
      <c r="AD142" s="8">
        <v>1</v>
      </c>
      <c r="AE142" s="8">
        <v>0.10199999999999999</v>
      </c>
      <c r="AF142" s="8">
        <v>0.35799999999999998</v>
      </c>
      <c r="AG142" s="8">
        <v>-365</v>
      </c>
      <c r="AH142" s="8">
        <v>-2</v>
      </c>
      <c r="AI142" s="8">
        <v>0.23</v>
      </c>
      <c r="AJ142" s="8">
        <v>0.379</v>
      </c>
      <c r="AK142" s="8">
        <v>-1080</v>
      </c>
      <c r="AL142" s="8">
        <v>1800</v>
      </c>
      <c r="AM142" s="8" t="s">
        <v>44</v>
      </c>
      <c r="AN142" s="8">
        <v>3.7</v>
      </c>
      <c r="AO142" s="8" t="s">
        <v>62</v>
      </c>
      <c r="AP142" s="8">
        <v>1</v>
      </c>
      <c r="AQ142" s="8">
        <v>219</v>
      </c>
    </row>
    <row r="143" spans="1:43" x14ac:dyDescent="0.2">
      <c r="A143" s="8" t="s">
        <v>59</v>
      </c>
      <c r="B143" s="8" t="s">
        <v>60</v>
      </c>
      <c r="C143" s="8">
        <v>43.1</v>
      </c>
      <c r="D143" s="8" t="s">
        <v>44</v>
      </c>
      <c r="E143" s="8"/>
      <c r="F143" s="8"/>
      <c r="G143" s="8" t="s">
        <v>44</v>
      </c>
      <c r="H143" s="8">
        <v>2</v>
      </c>
      <c r="I143" s="8" t="s">
        <v>45</v>
      </c>
      <c r="J143" s="8" t="s">
        <v>46</v>
      </c>
      <c r="K143" s="8">
        <v>265.5</v>
      </c>
      <c r="L143" s="8">
        <v>0.4</v>
      </c>
      <c r="M143" s="8" t="s">
        <v>47</v>
      </c>
      <c r="N143" s="8" t="s">
        <v>61</v>
      </c>
      <c r="O143" s="8">
        <v>0.1</v>
      </c>
      <c r="P143" s="8" t="s">
        <v>44</v>
      </c>
      <c r="Q143" s="8" t="s">
        <v>44</v>
      </c>
      <c r="R143" s="8">
        <v>2.4</v>
      </c>
      <c r="S143" s="9">
        <f t="shared" si="2"/>
        <v>30.8</v>
      </c>
      <c r="T143" s="8">
        <v>9.5</v>
      </c>
      <c r="U143" s="8" t="s">
        <v>44</v>
      </c>
      <c r="V143" s="8" t="s">
        <v>48</v>
      </c>
      <c r="W143" s="8" t="s">
        <v>44</v>
      </c>
      <c r="X143" s="8">
        <v>20</v>
      </c>
      <c r="Y143" s="8">
        <v>95</v>
      </c>
      <c r="Z143" s="8">
        <v>8</v>
      </c>
      <c r="AA143" s="8">
        <v>500</v>
      </c>
      <c r="AB143" s="8" t="s">
        <v>49</v>
      </c>
      <c r="AC143" s="8" t="s">
        <v>52</v>
      </c>
      <c r="AD143" s="8">
        <v>1</v>
      </c>
      <c r="AE143" s="8">
        <v>0.10199999999999999</v>
      </c>
      <c r="AF143" s="8">
        <v>0.35799999999999998</v>
      </c>
      <c r="AG143" s="8">
        <v>-365</v>
      </c>
      <c r="AH143" s="8">
        <v>-1</v>
      </c>
      <c r="AI143" s="8">
        <v>0.18099999999999999</v>
      </c>
      <c r="AJ143" s="8">
        <v>0.33200000000000002</v>
      </c>
      <c r="AK143" s="8">
        <v>-340</v>
      </c>
      <c r="AL143" s="8">
        <v>1800</v>
      </c>
      <c r="AM143" s="8" t="s">
        <v>44</v>
      </c>
      <c r="AN143" s="8">
        <v>3.7</v>
      </c>
      <c r="AO143" s="8" t="s">
        <v>62</v>
      </c>
      <c r="AP143" s="8">
        <v>1</v>
      </c>
      <c r="AQ143" s="8">
        <v>220</v>
      </c>
    </row>
    <row r="144" spans="1:43" x14ac:dyDescent="0.2">
      <c r="A144" s="8" t="s">
        <v>63</v>
      </c>
      <c r="B144" s="8" t="s">
        <v>64</v>
      </c>
      <c r="C144" s="8">
        <v>228.29</v>
      </c>
      <c r="D144" s="8" t="s">
        <v>44</v>
      </c>
      <c r="E144" s="8"/>
      <c r="F144" s="8"/>
      <c r="G144" s="8" t="s">
        <v>44</v>
      </c>
      <c r="H144" s="8">
        <v>1</v>
      </c>
      <c r="I144" s="8" t="s">
        <v>45</v>
      </c>
      <c r="J144" s="8" t="s">
        <v>46</v>
      </c>
      <c r="K144" s="8">
        <v>265.5</v>
      </c>
      <c r="L144" s="8">
        <v>0.15</v>
      </c>
      <c r="M144" s="8" t="s">
        <v>47</v>
      </c>
      <c r="N144" s="8" t="s">
        <v>44</v>
      </c>
      <c r="O144" s="8" t="s">
        <v>44</v>
      </c>
      <c r="P144" s="8" t="s">
        <v>44</v>
      </c>
      <c r="Q144" s="8" t="s">
        <v>44</v>
      </c>
      <c r="R144" s="8">
        <v>1.1499999999999999</v>
      </c>
      <c r="S144" s="9">
        <f t="shared" si="2"/>
        <v>7.75</v>
      </c>
      <c r="T144" s="8" t="s">
        <v>44</v>
      </c>
      <c r="U144" s="8" t="s">
        <v>44</v>
      </c>
      <c r="V144" s="8" t="s">
        <v>48</v>
      </c>
      <c r="W144" s="8" t="s">
        <v>44</v>
      </c>
      <c r="X144" s="8" t="s">
        <v>44</v>
      </c>
      <c r="Y144" s="8" t="s">
        <v>44</v>
      </c>
      <c r="Z144" s="8">
        <v>1.72</v>
      </c>
      <c r="AA144" s="8">
        <v>5.8659999999999997E-2</v>
      </c>
      <c r="AB144" s="8" t="s">
        <v>49</v>
      </c>
      <c r="AC144" s="8" t="s">
        <v>52</v>
      </c>
      <c r="AD144" s="8">
        <v>1</v>
      </c>
      <c r="AE144" s="8">
        <v>0.10199999999999999</v>
      </c>
      <c r="AF144" s="8">
        <v>0.35799999999999998</v>
      </c>
      <c r="AG144" s="8">
        <v>-365</v>
      </c>
      <c r="AH144" s="8">
        <v>-1</v>
      </c>
      <c r="AI144" s="8">
        <v>0.18099999999999999</v>
      </c>
      <c r="AJ144" s="8">
        <v>0.33200000000000002</v>
      </c>
      <c r="AK144" s="8">
        <v>-340</v>
      </c>
      <c r="AL144" s="8">
        <v>30</v>
      </c>
      <c r="AM144" s="8" t="s">
        <v>44</v>
      </c>
      <c r="AN144" s="8">
        <v>3.7</v>
      </c>
      <c r="AO144" s="8" t="s">
        <v>65</v>
      </c>
      <c r="AP144" s="8">
        <v>1</v>
      </c>
      <c r="AQ144" s="8">
        <v>274</v>
      </c>
    </row>
    <row r="145" spans="1:43" x14ac:dyDescent="0.2">
      <c r="A145" s="8" t="s">
        <v>42</v>
      </c>
      <c r="B145" s="8" t="s">
        <v>43</v>
      </c>
      <c r="C145" s="8">
        <v>86.14</v>
      </c>
      <c r="D145" s="8" t="s">
        <v>44</v>
      </c>
      <c r="E145" s="8"/>
      <c r="F145" s="8"/>
      <c r="G145" s="8" t="s">
        <v>44</v>
      </c>
      <c r="H145" s="8">
        <v>2</v>
      </c>
      <c r="I145" s="8" t="s">
        <v>45</v>
      </c>
      <c r="J145" s="8" t="s">
        <v>46</v>
      </c>
      <c r="K145" s="8">
        <v>265.5</v>
      </c>
      <c r="L145" s="8">
        <v>0.1</v>
      </c>
      <c r="M145" s="8" t="s">
        <v>47</v>
      </c>
      <c r="N145" s="8" t="s">
        <v>44</v>
      </c>
      <c r="O145" s="8" t="s">
        <v>44</v>
      </c>
      <c r="P145" s="8" t="s">
        <v>44</v>
      </c>
      <c r="Q145" s="8" t="s">
        <v>44</v>
      </c>
      <c r="R145" s="8">
        <v>2.1</v>
      </c>
      <c r="S145" s="9">
        <f t="shared" si="2"/>
        <v>61.64</v>
      </c>
      <c r="T145" s="8" t="s">
        <v>44</v>
      </c>
      <c r="U145" s="8" t="s">
        <v>44</v>
      </c>
      <c r="V145" s="8" t="s">
        <v>48</v>
      </c>
      <c r="W145" s="8" t="s">
        <v>44</v>
      </c>
      <c r="X145" s="8">
        <v>30</v>
      </c>
      <c r="Y145" s="8">
        <v>22</v>
      </c>
      <c r="Z145" s="8">
        <v>7</v>
      </c>
      <c r="AA145" s="8">
        <v>2000</v>
      </c>
      <c r="AB145" s="8" t="s">
        <v>49</v>
      </c>
      <c r="AC145" s="8" t="s">
        <v>52</v>
      </c>
      <c r="AD145" s="8">
        <v>1</v>
      </c>
      <c r="AE145" s="8">
        <v>0.10199999999999999</v>
      </c>
      <c r="AF145" s="8">
        <v>0.35799999999999998</v>
      </c>
      <c r="AG145" s="8">
        <v>-365</v>
      </c>
      <c r="AH145" s="8">
        <v>-1</v>
      </c>
      <c r="AI145" s="8">
        <v>0.18099999999999999</v>
      </c>
      <c r="AJ145" s="8">
        <v>0.33200000000000002</v>
      </c>
      <c r="AK145" s="8">
        <v>-340</v>
      </c>
      <c r="AL145" s="8">
        <v>30</v>
      </c>
      <c r="AM145" s="8" t="s">
        <v>44</v>
      </c>
      <c r="AN145" s="8">
        <v>3.7</v>
      </c>
      <c r="AO145" s="8" t="s">
        <v>124</v>
      </c>
      <c r="AP145" s="8">
        <v>1</v>
      </c>
      <c r="AQ145" s="8">
        <v>275</v>
      </c>
    </row>
    <row r="146" spans="1:43" x14ac:dyDescent="0.2">
      <c r="A146" s="8" t="s">
        <v>42</v>
      </c>
      <c r="B146" s="8" t="s">
        <v>43</v>
      </c>
      <c r="C146" s="8">
        <v>86.14</v>
      </c>
      <c r="D146" s="8" t="s">
        <v>122</v>
      </c>
      <c r="E146" s="8" t="s">
        <v>123</v>
      </c>
      <c r="F146" s="8">
        <v>160.26</v>
      </c>
      <c r="G146" s="8">
        <v>0.82</v>
      </c>
      <c r="H146" s="8">
        <v>2</v>
      </c>
      <c r="I146" s="8" t="s">
        <v>45</v>
      </c>
      <c r="J146" s="8" t="s">
        <v>46</v>
      </c>
      <c r="K146" s="8">
        <v>265.5</v>
      </c>
      <c r="L146" s="8">
        <v>0.1</v>
      </c>
      <c r="M146" s="8" t="s">
        <v>47</v>
      </c>
      <c r="N146" s="8" t="s">
        <v>44</v>
      </c>
      <c r="O146" s="8" t="s">
        <v>44</v>
      </c>
      <c r="P146" s="8" t="s">
        <v>44</v>
      </c>
      <c r="Q146" s="8" t="s">
        <v>44</v>
      </c>
      <c r="R146" s="8">
        <v>2.1</v>
      </c>
      <c r="S146" s="9">
        <f t="shared" si="2"/>
        <v>45.98</v>
      </c>
      <c r="T146" s="8" t="s">
        <v>44</v>
      </c>
      <c r="U146" s="8" t="s">
        <v>44</v>
      </c>
      <c r="V146" s="8" t="s">
        <v>48</v>
      </c>
      <c r="W146" s="8" t="s">
        <v>44</v>
      </c>
      <c r="X146" s="8">
        <v>30</v>
      </c>
      <c r="Y146" s="8">
        <v>22</v>
      </c>
      <c r="Z146" s="8">
        <v>7</v>
      </c>
      <c r="AA146" s="8">
        <v>2000</v>
      </c>
      <c r="AB146" s="8" t="s">
        <v>69</v>
      </c>
      <c r="AC146" s="8" t="s">
        <v>50</v>
      </c>
      <c r="AD146" s="8">
        <v>2</v>
      </c>
      <c r="AE146" s="8">
        <v>7.1999999999999995E-2</v>
      </c>
      <c r="AF146" s="8">
        <v>0.42799999999999999</v>
      </c>
      <c r="AG146" s="8">
        <v>-1830</v>
      </c>
      <c r="AH146" s="8">
        <v>-2</v>
      </c>
      <c r="AI146" s="8">
        <v>0.23</v>
      </c>
      <c r="AJ146" s="8">
        <v>0.379</v>
      </c>
      <c r="AK146" s="8">
        <v>-1080</v>
      </c>
      <c r="AL146" s="8">
        <v>30</v>
      </c>
      <c r="AM146" s="8" t="s">
        <v>44</v>
      </c>
      <c r="AN146" s="8">
        <v>3.7</v>
      </c>
      <c r="AO146" s="8" t="s">
        <v>124</v>
      </c>
      <c r="AP146" s="8">
        <v>1</v>
      </c>
      <c r="AQ146" s="8">
        <v>276</v>
      </c>
    </row>
    <row r="147" spans="1:43" x14ac:dyDescent="0.2">
      <c r="A147" s="8" t="s">
        <v>42</v>
      </c>
      <c r="B147" s="8" t="s">
        <v>43</v>
      </c>
      <c r="C147" s="8">
        <v>86.14</v>
      </c>
      <c r="D147" s="8" t="s">
        <v>44</v>
      </c>
      <c r="E147" s="8"/>
      <c r="F147" s="8"/>
      <c r="G147" s="8" t="s">
        <v>44</v>
      </c>
      <c r="H147" s="8">
        <v>0.35</v>
      </c>
      <c r="I147" s="8" t="s">
        <v>45</v>
      </c>
      <c r="J147" s="8" t="s">
        <v>46</v>
      </c>
      <c r="K147" s="8">
        <v>265.5</v>
      </c>
      <c r="L147" s="8">
        <v>0.2</v>
      </c>
      <c r="M147" s="8" t="s">
        <v>47</v>
      </c>
      <c r="N147" s="8" t="s">
        <v>44</v>
      </c>
      <c r="O147" s="8" t="s">
        <v>44</v>
      </c>
      <c r="P147" s="8" t="s">
        <v>44</v>
      </c>
      <c r="Q147" s="8" t="s">
        <v>44</v>
      </c>
      <c r="R147" s="8">
        <v>0.55000000000000004</v>
      </c>
      <c r="S147" s="9">
        <f t="shared" si="2"/>
        <v>5.39</v>
      </c>
      <c r="T147" s="8" t="s">
        <v>44</v>
      </c>
      <c r="U147" s="8" t="s">
        <v>44</v>
      </c>
      <c r="V147" s="8" t="s">
        <v>48</v>
      </c>
      <c r="W147" s="8" t="s">
        <v>44</v>
      </c>
      <c r="X147" s="8">
        <v>20</v>
      </c>
      <c r="Y147" s="8">
        <v>50</v>
      </c>
      <c r="Z147" s="8">
        <v>6</v>
      </c>
      <c r="AA147" s="8">
        <v>3000</v>
      </c>
      <c r="AB147" s="8" t="s">
        <v>49</v>
      </c>
      <c r="AC147" s="8" t="s">
        <v>52</v>
      </c>
      <c r="AD147" s="8">
        <v>1</v>
      </c>
      <c r="AE147" s="8">
        <v>0.10199999999999999</v>
      </c>
      <c r="AF147" s="8">
        <v>0.35799999999999998</v>
      </c>
      <c r="AG147" s="8">
        <v>-365</v>
      </c>
      <c r="AH147" s="8">
        <v>-1</v>
      </c>
      <c r="AI147" s="8">
        <v>0.18099999999999999</v>
      </c>
      <c r="AJ147" s="8">
        <v>0.33200000000000002</v>
      </c>
      <c r="AK147" s="8">
        <v>-340</v>
      </c>
      <c r="AL147" s="8">
        <v>120</v>
      </c>
      <c r="AM147" s="8" t="s">
        <v>44</v>
      </c>
      <c r="AN147" s="8">
        <v>3.7</v>
      </c>
      <c r="AO147" s="8" t="s">
        <v>114</v>
      </c>
      <c r="AP147" s="8">
        <v>1</v>
      </c>
      <c r="AQ147" s="8">
        <v>277</v>
      </c>
    </row>
    <row r="148" spans="1:43" x14ac:dyDescent="0.2">
      <c r="A148" s="8" t="s">
        <v>42</v>
      </c>
      <c r="B148" s="8" t="s">
        <v>43</v>
      </c>
      <c r="C148" s="8">
        <v>86.14</v>
      </c>
      <c r="D148" s="8" t="s">
        <v>44</v>
      </c>
      <c r="E148" s="8"/>
      <c r="F148" s="8"/>
      <c r="G148" s="8" t="s">
        <v>44</v>
      </c>
      <c r="H148" s="8">
        <v>0.3</v>
      </c>
      <c r="I148" s="8" t="s">
        <v>45</v>
      </c>
      <c r="J148" s="8" t="s">
        <v>46</v>
      </c>
      <c r="K148" s="8">
        <v>265.5</v>
      </c>
      <c r="L148" s="8">
        <v>0.2</v>
      </c>
      <c r="M148" s="8" t="s">
        <v>47</v>
      </c>
      <c r="N148" s="8" t="s">
        <v>44</v>
      </c>
      <c r="O148" s="8" t="s">
        <v>44</v>
      </c>
      <c r="P148" s="8" t="s">
        <v>44</v>
      </c>
      <c r="Q148" s="8" t="s">
        <v>44</v>
      </c>
      <c r="R148" s="8">
        <v>0.5</v>
      </c>
      <c r="S148" s="9">
        <f t="shared" si="2"/>
        <v>4.62</v>
      </c>
      <c r="T148" s="8" t="s">
        <v>44</v>
      </c>
      <c r="U148" s="8" t="s">
        <v>44</v>
      </c>
      <c r="V148" s="8" t="s">
        <v>48</v>
      </c>
      <c r="W148" s="8" t="s">
        <v>44</v>
      </c>
      <c r="X148" s="8">
        <v>20</v>
      </c>
      <c r="Y148" s="8">
        <v>50</v>
      </c>
      <c r="Z148" s="8">
        <v>6</v>
      </c>
      <c r="AA148" s="8">
        <v>3000</v>
      </c>
      <c r="AB148" s="8" t="s">
        <v>69</v>
      </c>
      <c r="AC148" s="8" t="s">
        <v>50</v>
      </c>
      <c r="AD148" s="8">
        <v>2</v>
      </c>
      <c r="AE148" s="8">
        <v>7.1999999999999995E-2</v>
      </c>
      <c r="AF148" s="8">
        <v>0.42799999999999999</v>
      </c>
      <c r="AG148" s="8">
        <v>-1830</v>
      </c>
      <c r="AH148" s="8">
        <v>-2</v>
      </c>
      <c r="AI148" s="8">
        <v>0.23</v>
      </c>
      <c r="AJ148" s="8">
        <v>0.379</v>
      </c>
      <c r="AK148" s="8">
        <v>-1080</v>
      </c>
      <c r="AL148" s="8">
        <v>120</v>
      </c>
      <c r="AM148" s="8" t="s">
        <v>44</v>
      </c>
      <c r="AN148" s="8">
        <v>3.7</v>
      </c>
      <c r="AO148" s="8" t="s">
        <v>114</v>
      </c>
      <c r="AP148" s="8">
        <v>1</v>
      </c>
      <c r="AQ148" s="8">
        <v>278</v>
      </c>
    </row>
    <row r="149" spans="1:43" x14ac:dyDescent="0.2">
      <c r="A149" s="8" t="s">
        <v>42</v>
      </c>
      <c r="B149" s="8" t="s">
        <v>43</v>
      </c>
      <c r="C149" s="8">
        <v>86.14</v>
      </c>
      <c r="D149" s="8" t="s">
        <v>44</v>
      </c>
      <c r="E149" s="8"/>
      <c r="F149" s="8"/>
      <c r="G149" s="8" t="s">
        <v>44</v>
      </c>
      <c r="H149" s="8">
        <v>1.76</v>
      </c>
      <c r="I149" s="8" t="s">
        <v>116</v>
      </c>
      <c r="J149" s="8" t="s">
        <v>117</v>
      </c>
      <c r="K149" s="8">
        <v>423.7</v>
      </c>
      <c r="L149" s="8">
        <v>2.8000000000000001E-2</v>
      </c>
      <c r="M149" s="8" t="s">
        <v>111</v>
      </c>
      <c r="N149" s="8" t="s">
        <v>61</v>
      </c>
      <c r="O149" s="8">
        <v>0.01</v>
      </c>
      <c r="P149" s="8" t="s">
        <v>118</v>
      </c>
      <c r="Q149" s="8">
        <v>4</v>
      </c>
      <c r="R149" s="8">
        <v>1.788</v>
      </c>
      <c r="S149" s="9">
        <f t="shared" si="2"/>
        <v>309.18</v>
      </c>
      <c r="T149" s="8" t="s">
        <v>44</v>
      </c>
      <c r="U149" s="8" t="s">
        <v>44</v>
      </c>
      <c r="V149" s="8" t="s">
        <v>48</v>
      </c>
      <c r="W149" s="8" t="s">
        <v>44</v>
      </c>
      <c r="X149" s="8">
        <v>10</v>
      </c>
      <c r="Y149" s="8">
        <v>25</v>
      </c>
      <c r="Z149" s="8">
        <v>5</v>
      </c>
      <c r="AA149" s="8">
        <v>500</v>
      </c>
      <c r="AB149" s="8" t="s">
        <v>49</v>
      </c>
      <c r="AC149" s="8" t="s">
        <v>50</v>
      </c>
      <c r="AD149" s="8">
        <v>1</v>
      </c>
      <c r="AE149" s="8">
        <v>0.10199999999999999</v>
      </c>
      <c r="AF149" s="8">
        <v>0.35799999999999998</v>
      </c>
      <c r="AG149" s="8">
        <v>-365</v>
      </c>
      <c r="AH149" s="8">
        <v>-2</v>
      </c>
      <c r="AI149" s="8">
        <v>0.23</v>
      </c>
      <c r="AJ149" s="8">
        <v>0.379</v>
      </c>
      <c r="AK149" s="8">
        <v>-1080</v>
      </c>
      <c r="AL149" s="8">
        <v>480</v>
      </c>
      <c r="AM149" s="8" t="s">
        <v>44</v>
      </c>
      <c r="AN149" s="8">
        <v>3.7</v>
      </c>
      <c r="AO149" s="8" t="s">
        <v>121</v>
      </c>
      <c r="AP149" s="8">
        <v>3</v>
      </c>
      <c r="AQ149" s="8">
        <v>279</v>
      </c>
    </row>
    <row r="150" spans="1:43" x14ac:dyDescent="0.2">
      <c r="A150" s="8" t="s">
        <v>42</v>
      </c>
      <c r="B150" s="8" t="s">
        <v>43</v>
      </c>
      <c r="C150" s="8">
        <v>86.14</v>
      </c>
      <c r="D150" s="8" t="s">
        <v>44</v>
      </c>
      <c r="E150" s="8"/>
      <c r="F150" s="8"/>
      <c r="G150" s="8" t="s">
        <v>44</v>
      </c>
      <c r="H150" s="8">
        <v>0.35</v>
      </c>
      <c r="I150" s="8" t="s">
        <v>45</v>
      </c>
      <c r="J150" s="8" t="s">
        <v>46</v>
      </c>
      <c r="K150" s="8">
        <v>265.5</v>
      </c>
      <c r="L150" s="8">
        <v>0.2</v>
      </c>
      <c r="M150" s="8" t="s">
        <v>47</v>
      </c>
      <c r="N150" s="8" t="s">
        <v>44</v>
      </c>
      <c r="O150" s="8" t="s">
        <v>44</v>
      </c>
      <c r="P150" s="8" t="s">
        <v>44</v>
      </c>
      <c r="Q150" s="8" t="s">
        <v>44</v>
      </c>
      <c r="R150" s="8">
        <v>0.55000000000000004</v>
      </c>
      <c r="S150" s="9">
        <f t="shared" si="2"/>
        <v>5.39</v>
      </c>
      <c r="T150" s="8" t="s">
        <v>44</v>
      </c>
      <c r="U150" s="8" t="s">
        <v>44</v>
      </c>
      <c r="V150" s="8" t="s">
        <v>48</v>
      </c>
      <c r="W150" s="8" t="s">
        <v>44</v>
      </c>
      <c r="X150" s="8">
        <v>15</v>
      </c>
      <c r="Y150" s="8">
        <v>50</v>
      </c>
      <c r="Z150" s="8">
        <v>6</v>
      </c>
      <c r="AA150" s="8">
        <v>1000</v>
      </c>
      <c r="AB150" s="8" t="s">
        <v>69</v>
      </c>
      <c r="AC150" s="8" t="s">
        <v>50</v>
      </c>
      <c r="AD150" s="8">
        <v>2</v>
      </c>
      <c r="AE150" s="8">
        <v>7.1999999999999995E-2</v>
      </c>
      <c r="AF150" s="8">
        <v>0.42799999999999999</v>
      </c>
      <c r="AG150" s="8">
        <v>-1830</v>
      </c>
      <c r="AH150" s="8">
        <v>-2</v>
      </c>
      <c r="AI150" s="8">
        <v>0.23</v>
      </c>
      <c r="AJ150" s="8">
        <v>0.379</v>
      </c>
      <c r="AK150" s="8">
        <v>-1080</v>
      </c>
      <c r="AL150" s="8">
        <v>60</v>
      </c>
      <c r="AM150" s="8" t="s">
        <v>44</v>
      </c>
      <c r="AN150" s="8">
        <v>3.7</v>
      </c>
      <c r="AO150" s="8" t="s">
        <v>140</v>
      </c>
      <c r="AP150" s="8">
        <v>1</v>
      </c>
      <c r="AQ150" s="8">
        <v>280</v>
      </c>
    </row>
    <row r="151" spans="1:43" x14ac:dyDescent="0.2">
      <c r="A151" s="8" t="s">
        <v>42</v>
      </c>
      <c r="B151" s="8" t="s">
        <v>43</v>
      </c>
      <c r="C151" s="8">
        <v>86.14</v>
      </c>
      <c r="D151" s="8" t="s">
        <v>44</v>
      </c>
      <c r="E151" s="8"/>
      <c r="F151" s="8"/>
      <c r="G151" s="8" t="s">
        <v>44</v>
      </c>
      <c r="H151" s="8">
        <v>2</v>
      </c>
      <c r="I151" s="8" t="s">
        <v>45</v>
      </c>
      <c r="J151" s="8" t="s">
        <v>46</v>
      </c>
      <c r="K151" s="8">
        <v>265.5</v>
      </c>
      <c r="L151" s="8">
        <v>0.2</v>
      </c>
      <c r="M151" s="8" t="s">
        <v>47</v>
      </c>
      <c r="N151" s="8" t="s">
        <v>44</v>
      </c>
      <c r="O151" s="8" t="s">
        <v>44</v>
      </c>
      <c r="P151" s="8" t="s">
        <v>44</v>
      </c>
      <c r="Q151" s="8" t="s">
        <v>44</v>
      </c>
      <c r="R151" s="8">
        <v>2.2000000000000002</v>
      </c>
      <c r="S151" s="9">
        <f t="shared" si="2"/>
        <v>30.82</v>
      </c>
      <c r="T151" s="8" t="s">
        <v>44</v>
      </c>
      <c r="U151" s="8" t="s">
        <v>44</v>
      </c>
      <c r="V151" s="8" t="s">
        <v>48</v>
      </c>
      <c r="W151" s="8" t="s">
        <v>44</v>
      </c>
      <c r="X151" s="8">
        <v>8</v>
      </c>
      <c r="Y151" s="8">
        <v>70</v>
      </c>
      <c r="Z151" s="8">
        <v>6</v>
      </c>
      <c r="AA151" s="8">
        <v>2000</v>
      </c>
      <c r="AB151" s="8" t="s">
        <v>49</v>
      </c>
      <c r="AC151" s="8" t="s">
        <v>50</v>
      </c>
      <c r="AD151" s="8">
        <v>1</v>
      </c>
      <c r="AE151" s="8">
        <v>0.10199999999999999</v>
      </c>
      <c r="AF151" s="8">
        <v>0.35799999999999998</v>
      </c>
      <c r="AG151" s="8">
        <v>-365</v>
      </c>
      <c r="AH151" s="8">
        <v>-2</v>
      </c>
      <c r="AI151" s="8">
        <v>0.23</v>
      </c>
      <c r="AJ151" s="8">
        <v>0.379</v>
      </c>
      <c r="AK151" s="8">
        <v>-1080</v>
      </c>
      <c r="AL151" s="8">
        <v>60</v>
      </c>
      <c r="AM151" s="8" t="s">
        <v>44</v>
      </c>
      <c r="AN151" s="8">
        <v>3.7</v>
      </c>
      <c r="AO151" s="8" t="s">
        <v>100</v>
      </c>
      <c r="AP151" s="8">
        <v>1</v>
      </c>
      <c r="AQ151" s="8">
        <v>283</v>
      </c>
    </row>
    <row r="152" spans="1:43" x14ac:dyDescent="0.2">
      <c r="A152" s="8" t="s">
        <v>42</v>
      </c>
      <c r="B152" s="8" t="s">
        <v>43</v>
      </c>
      <c r="C152" s="8">
        <v>86.14</v>
      </c>
      <c r="D152" s="8" t="s">
        <v>44</v>
      </c>
      <c r="E152" s="8"/>
      <c r="F152" s="8"/>
      <c r="G152" s="8" t="s">
        <v>44</v>
      </c>
      <c r="H152" s="8">
        <v>3</v>
      </c>
      <c r="I152" s="8" t="s">
        <v>45</v>
      </c>
      <c r="J152" s="8" t="s">
        <v>46</v>
      </c>
      <c r="K152" s="8">
        <v>265.5</v>
      </c>
      <c r="L152" s="8">
        <v>0.6</v>
      </c>
      <c r="M152" s="8" t="s">
        <v>47</v>
      </c>
      <c r="N152" s="8" t="s">
        <v>44</v>
      </c>
      <c r="O152" s="8" t="s">
        <v>44</v>
      </c>
      <c r="P152" s="8" t="s">
        <v>44</v>
      </c>
      <c r="Q152" s="8" t="s">
        <v>44</v>
      </c>
      <c r="R152" s="8">
        <v>3.6</v>
      </c>
      <c r="S152" s="9">
        <f t="shared" si="2"/>
        <v>15.41</v>
      </c>
      <c r="T152" s="8">
        <v>9.5</v>
      </c>
      <c r="U152" s="8" t="s">
        <v>44</v>
      </c>
      <c r="V152" s="8" t="s">
        <v>48</v>
      </c>
      <c r="W152" s="8" t="s">
        <v>44</v>
      </c>
      <c r="X152" s="8">
        <v>20</v>
      </c>
      <c r="Y152" s="8">
        <v>75</v>
      </c>
      <c r="Z152" s="8">
        <v>8</v>
      </c>
      <c r="AA152" s="8">
        <v>500</v>
      </c>
      <c r="AB152" s="8" t="s">
        <v>49</v>
      </c>
      <c r="AC152" s="8" t="s">
        <v>52</v>
      </c>
      <c r="AD152" s="8">
        <v>1</v>
      </c>
      <c r="AE152" s="8">
        <v>0.10199999999999999</v>
      </c>
      <c r="AF152" s="8">
        <v>0.35799999999999998</v>
      </c>
      <c r="AG152" s="8">
        <v>-365</v>
      </c>
      <c r="AH152" s="8">
        <v>-1</v>
      </c>
      <c r="AI152" s="8">
        <v>0.18099999999999999</v>
      </c>
      <c r="AJ152" s="8">
        <v>0.33200000000000002</v>
      </c>
      <c r="AK152" s="8">
        <v>-340</v>
      </c>
      <c r="AL152" s="8">
        <v>1800</v>
      </c>
      <c r="AM152" s="8" t="s">
        <v>44</v>
      </c>
      <c r="AN152" s="8">
        <v>3.7</v>
      </c>
      <c r="AO152" s="8" t="s">
        <v>143</v>
      </c>
      <c r="AP152" s="8">
        <v>1</v>
      </c>
      <c r="AQ152" s="8">
        <v>284</v>
      </c>
    </row>
    <row r="153" spans="1:43" x14ac:dyDescent="0.2">
      <c r="A153" t="s">
        <v>59</v>
      </c>
      <c r="B153" t="s">
        <v>60</v>
      </c>
      <c r="C153">
        <v>43.1</v>
      </c>
      <c r="D153" t="s">
        <v>44</v>
      </c>
      <c r="G153" t="s">
        <v>44</v>
      </c>
      <c r="H153">
        <v>2.5</v>
      </c>
      <c r="I153" t="s">
        <v>45</v>
      </c>
      <c r="J153" t="s">
        <v>46</v>
      </c>
      <c r="K153">
        <v>265.5</v>
      </c>
      <c r="L153">
        <v>0.4</v>
      </c>
      <c r="M153" t="s">
        <v>47</v>
      </c>
      <c r="N153" t="s">
        <v>61</v>
      </c>
      <c r="O153">
        <v>0.1</v>
      </c>
      <c r="P153" t="s">
        <v>44</v>
      </c>
      <c r="Q153" t="s">
        <v>44</v>
      </c>
      <c r="R153">
        <v>2.9</v>
      </c>
      <c r="S153" s="5">
        <f t="shared" si="2"/>
        <v>38.5</v>
      </c>
      <c r="T153">
        <v>9.5</v>
      </c>
      <c r="U153" t="s">
        <v>44</v>
      </c>
      <c r="V153" t="s">
        <v>48</v>
      </c>
      <c r="W153" t="s">
        <v>44</v>
      </c>
      <c r="X153">
        <v>20</v>
      </c>
      <c r="Y153">
        <v>95</v>
      </c>
      <c r="Z153">
        <v>8</v>
      </c>
      <c r="AA153">
        <v>500</v>
      </c>
      <c r="AB153" t="s">
        <v>69</v>
      </c>
      <c r="AC153" t="s">
        <v>52</v>
      </c>
      <c r="AD153">
        <v>2</v>
      </c>
      <c r="AE153">
        <v>7.1999999999999995E-2</v>
      </c>
      <c r="AF153">
        <v>0.42799999999999999</v>
      </c>
      <c r="AG153">
        <v>-1830</v>
      </c>
      <c r="AH153">
        <v>-1</v>
      </c>
      <c r="AI153">
        <v>0.18099999999999999</v>
      </c>
      <c r="AJ153">
        <v>0.33200000000000002</v>
      </c>
      <c r="AK153">
        <v>-340</v>
      </c>
      <c r="AL153">
        <v>1800</v>
      </c>
      <c r="AM153" t="s">
        <v>44</v>
      </c>
      <c r="AN153">
        <v>3.8</v>
      </c>
      <c r="AO153" t="s">
        <v>62</v>
      </c>
      <c r="AP153">
        <v>1</v>
      </c>
      <c r="AQ153">
        <v>197</v>
      </c>
    </row>
    <row r="154" spans="1:43" x14ac:dyDescent="0.2">
      <c r="A154" t="s">
        <v>59</v>
      </c>
      <c r="B154" t="s">
        <v>60</v>
      </c>
      <c r="C154">
        <v>43.1</v>
      </c>
      <c r="D154" t="s">
        <v>44</v>
      </c>
      <c r="G154" t="s">
        <v>44</v>
      </c>
      <c r="H154">
        <v>2</v>
      </c>
      <c r="I154" t="s">
        <v>45</v>
      </c>
      <c r="J154" t="s">
        <v>46</v>
      </c>
      <c r="K154">
        <v>265.5</v>
      </c>
      <c r="L154">
        <v>0.4</v>
      </c>
      <c r="M154" t="s">
        <v>47</v>
      </c>
      <c r="N154" t="s">
        <v>61</v>
      </c>
      <c r="O154">
        <v>0.1</v>
      </c>
      <c r="P154" t="s">
        <v>44</v>
      </c>
      <c r="Q154" t="s">
        <v>44</v>
      </c>
      <c r="R154">
        <v>2.4</v>
      </c>
      <c r="S154" s="5">
        <f t="shared" si="2"/>
        <v>30.8</v>
      </c>
      <c r="T154">
        <v>9.5</v>
      </c>
      <c r="U154" t="s">
        <v>44</v>
      </c>
      <c r="V154" t="s">
        <v>48</v>
      </c>
      <c r="W154" t="s">
        <v>44</v>
      </c>
      <c r="X154">
        <v>20</v>
      </c>
      <c r="Y154">
        <v>95</v>
      </c>
      <c r="Z154">
        <v>8</v>
      </c>
      <c r="AA154">
        <v>500</v>
      </c>
      <c r="AB154" t="s">
        <v>69</v>
      </c>
      <c r="AC154" t="s">
        <v>50</v>
      </c>
      <c r="AD154">
        <v>2</v>
      </c>
      <c r="AE154">
        <v>7.1999999999999995E-2</v>
      </c>
      <c r="AF154">
        <v>0.42799999999999999</v>
      </c>
      <c r="AG154">
        <v>-1830</v>
      </c>
      <c r="AH154">
        <v>-2</v>
      </c>
      <c r="AI154">
        <v>0.23</v>
      </c>
      <c r="AJ154">
        <v>0.379</v>
      </c>
      <c r="AK154">
        <v>-1080</v>
      </c>
      <c r="AL154">
        <v>1800</v>
      </c>
      <c r="AM154" t="s">
        <v>44</v>
      </c>
      <c r="AN154">
        <v>3.8</v>
      </c>
      <c r="AO154" t="s">
        <v>62</v>
      </c>
      <c r="AP154">
        <v>1</v>
      </c>
      <c r="AQ154">
        <v>205</v>
      </c>
    </row>
    <row r="155" spans="1:43" x14ac:dyDescent="0.2">
      <c r="A155" t="s">
        <v>89</v>
      </c>
      <c r="B155" t="s">
        <v>90</v>
      </c>
      <c r="C155">
        <v>136.15</v>
      </c>
      <c r="D155" t="s">
        <v>44</v>
      </c>
      <c r="G155" t="s">
        <v>44</v>
      </c>
      <c r="H155">
        <v>5</v>
      </c>
      <c r="I155" t="s">
        <v>45</v>
      </c>
      <c r="J155" t="s">
        <v>46</v>
      </c>
      <c r="K155">
        <v>265.5</v>
      </c>
      <c r="L155">
        <v>0.45600000000000002</v>
      </c>
      <c r="M155" t="s">
        <v>47</v>
      </c>
      <c r="N155" t="s">
        <v>44</v>
      </c>
      <c r="O155" t="s">
        <v>44</v>
      </c>
      <c r="P155" t="s">
        <v>91</v>
      </c>
      <c r="Q155" t="s">
        <v>44</v>
      </c>
      <c r="R155">
        <v>5.4560000000000004</v>
      </c>
      <c r="S155" s="5">
        <f t="shared" si="2"/>
        <v>21.38</v>
      </c>
      <c r="T155">
        <v>9</v>
      </c>
      <c r="U155" t="s">
        <v>44</v>
      </c>
      <c r="V155" t="s">
        <v>48</v>
      </c>
      <c r="W155" t="s">
        <v>44</v>
      </c>
      <c r="X155">
        <v>40</v>
      </c>
      <c r="Y155">
        <v>60</v>
      </c>
      <c r="Z155">
        <v>5</v>
      </c>
      <c r="AA155">
        <v>1000</v>
      </c>
      <c r="AB155" t="s">
        <v>49</v>
      </c>
      <c r="AC155" t="s">
        <v>50</v>
      </c>
      <c r="AD155">
        <v>1</v>
      </c>
      <c r="AE155">
        <v>0.10199999999999999</v>
      </c>
      <c r="AF155">
        <v>0.35799999999999998</v>
      </c>
      <c r="AG155">
        <v>-365</v>
      </c>
      <c r="AH155">
        <v>-2</v>
      </c>
      <c r="AI155">
        <v>0.23</v>
      </c>
      <c r="AJ155">
        <v>0.379</v>
      </c>
      <c r="AK155">
        <v>-1080</v>
      </c>
      <c r="AL155">
        <v>1200</v>
      </c>
      <c r="AM155" t="s">
        <v>44</v>
      </c>
      <c r="AN155">
        <v>3.8</v>
      </c>
      <c r="AO155" t="s">
        <v>92</v>
      </c>
      <c r="AP155">
        <v>1</v>
      </c>
      <c r="AQ155">
        <v>268</v>
      </c>
    </row>
    <row r="156" spans="1:43" x14ac:dyDescent="0.2">
      <c r="A156" t="s">
        <v>42</v>
      </c>
      <c r="B156" t="s">
        <v>43</v>
      </c>
      <c r="C156">
        <v>86.14</v>
      </c>
      <c r="D156" t="s">
        <v>44</v>
      </c>
      <c r="G156" t="s">
        <v>44</v>
      </c>
      <c r="H156">
        <v>0.35</v>
      </c>
      <c r="I156" t="s">
        <v>45</v>
      </c>
      <c r="J156" t="s">
        <v>46</v>
      </c>
      <c r="K156">
        <v>265.5</v>
      </c>
      <c r="L156">
        <v>0.25</v>
      </c>
      <c r="M156" t="s">
        <v>47</v>
      </c>
      <c r="N156" t="s">
        <v>44</v>
      </c>
      <c r="O156" t="s">
        <v>44</v>
      </c>
      <c r="P156" t="s">
        <v>44</v>
      </c>
      <c r="Q156" t="s">
        <v>44</v>
      </c>
      <c r="R156">
        <v>0.6</v>
      </c>
      <c r="S156" s="5">
        <f t="shared" si="2"/>
        <v>4.32</v>
      </c>
      <c r="T156" t="s">
        <v>44</v>
      </c>
      <c r="U156" t="s">
        <v>44</v>
      </c>
      <c r="V156" t="s">
        <v>48</v>
      </c>
      <c r="W156" t="s">
        <v>44</v>
      </c>
      <c r="X156">
        <v>20</v>
      </c>
      <c r="Y156">
        <v>50</v>
      </c>
      <c r="Z156">
        <v>6</v>
      </c>
      <c r="AA156">
        <v>3000</v>
      </c>
      <c r="AB156" t="s">
        <v>69</v>
      </c>
      <c r="AC156" t="s">
        <v>50</v>
      </c>
      <c r="AD156">
        <v>2</v>
      </c>
      <c r="AE156">
        <v>7.1999999999999995E-2</v>
      </c>
      <c r="AF156">
        <v>0.42799999999999999</v>
      </c>
      <c r="AG156">
        <v>-1830</v>
      </c>
      <c r="AH156">
        <v>-2</v>
      </c>
      <c r="AI156">
        <v>0.23</v>
      </c>
      <c r="AJ156">
        <v>0.379</v>
      </c>
      <c r="AK156">
        <v>-1080</v>
      </c>
      <c r="AL156">
        <v>120</v>
      </c>
      <c r="AM156" t="s">
        <v>44</v>
      </c>
      <c r="AN156">
        <v>3.8</v>
      </c>
      <c r="AO156" t="s">
        <v>114</v>
      </c>
      <c r="AP156">
        <v>1</v>
      </c>
      <c r="AQ156">
        <v>269</v>
      </c>
    </row>
    <row r="157" spans="1:43" x14ac:dyDescent="0.2">
      <c r="A157" t="s">
        <v>42</v>
      </c>
      <c r="B157" t="s">
        <v>43</v>
      </c>
      <c r="C157">
        <v>86.14</v>
      </c>
      <c r="D157" t="s">
        <v>74</v>
      </c>
      <c r="E157" t="s">
        <v>75</v>
      </c>
      <c r="F157">
        <v>200.23</v>
      </c>
      <c r="G157">
        <v>0.43</v>
      </c>
      <c r="H157">
        <v>1</v>
      </c>
      <c r="I157" t="s">
        <v>45</v>
      </c>
      <c r="J157" t="s">
        <v>46</v>
      </c>
      <c r="K157">
        <v>265.5</v>
      </c>
      <c r="L157">
        <v>0.15</v>
      </c>
      <c r="M157" t="s">
        <v>47</v>
      </c>
      <c r="N157" t="s">
        <v>141</v>
      </c>
      <c r="O157">
        <v>0.25</v>
      </c>
      <c r="P157" t="s">
        <v>85</v>
      </c>
      <c r="Q157">
        <v>0.28000000000000003</v>
      </c>
      <c r="R157">
        <v>1.1499999999999999</v>
      </c>
      <c r="S157" s="5">
        <f t="shared" si="2"/>
        <v>12.36</v>
      </c>
      <c r="T157" t="s">
        <v>44</v>
      </c>
      <c r="U157" t="s">
        <v>44</v>
      </c>
      <c r="V157" t="s">
        <v>48</v>
      </c>
      <c r="W157" t="s">
        <v>44</v>
      </c>
      <c r="X157">
        <v>3</v>
      </c>
      <c r="Y157">
        <v>80</v>
      </c>
      <c r="Z157">
        <v>6</v>
      </c>
      <c r="AA157">
        <v>2000</v>
      </c>
      <c r="AB157" t="s">
        <v>69</v>
      </c>
      <c r="AC157" t="s">
        <v>50</v>
      </c>
      <c r="AD157">
        <v>2</v>
      </c>
      <c r="AE157">
        <v>7.1999999999999995E-2</v>
      </c>
      <c r="AF157">
        <v>0.42799999999999999</v>
      </c>
      <c r="AG157">
        <v>-1830</v>
      </c>
      <c r="AH157">
        <v>-2</v>
      </c>
      <c r="AI157">
        <v>0.23</v>
      </c>
      <c r="AJ157">
        <v>0.379</v>
      </c>
      <c r="AK157">
        <v>-1080</v>
      </c>
      <c r="AL157">
        <v>15</v>
      </c>
      <c r="AM157" t="s">
        <v>44</v>
      </c>
      <c r="AN157">
        <v>3.8</v>
      </c>
      <c r="AO157" t="s">
        <v>76</v>
      </c>
      <c r="AP157">
        <v>1</v>
      </c>
      <c r="AQ157">
        <v>273</v>
      </c>
    </row>
    <row r="158" spans="1:43" x14ac:dyDescent="0.2">
      <c r="A158" t="s">
        <v>67</v>
      </c>
      <c r="B158" t="s">
        <v>68</v>
      </c>
      <c r="C158">
        <v>210.27</v>
      </c>
      <c r="D158" t="s">
        <v>44</v>
      </c>
      <c r="G158" t="s">
        <v>44</v>
      </c>
      <c r="H158">
        <v>1</v>
      </c>
      <c r="I158" t="s">
        <v>45</v>
      </c>
      <c r="J158" t="s">
        <v>46</v>
      </c>
      <c r="K158">
        <v>265.5</v>
      </c>
      <c r="L158">
        <v>0.2</v>
      </c>
      <c r="M158" t="s">
        <v>47</v>
      </c>
      <c r="N158" t="s">
        <v>61</v>
      </c>
      <c r="O158">
        <v>0.1</v>
      </c>
      <c r="P158" t="s">
        <v>44</v>
      </c>
      <c r="Q158" t="s">
        <v>44</v>
      </c>
      <c r="R158">
        <v>1.2</v>
      </c>
      <c r="S158" s="5">
        <f t="shared" si="2"/>
        <v>6.31</v>
      </c>
      <c r="T158" t="s">
        <v>44</v>
      </c>
      <c r="U158" t="s">
        <v>44</v>
      </c>
      <c r="V158" t="s">
        <v>48</v>
      </c>
      <c r="W158" t="s">
        <v>44</v>
      </c>
      <c r="X158">
        <v>15</v>
      </c>
      <c r="Y158">
        <v>80</v>
      </c>
      <c r="Z158">
        <v>4</v>
      </c>
      <c r="AA158">
        <v>2000</v>
      </c>
      <c r="AB158" t="s">
        <v>69</v>
      </c>
      <c r="AC158" t="s">
        <v>50</v>
      </c>
      <c r="AD158">
        <v>2</v>
      </c>
      <c r="AE158">
        <v>7.1999999999999995E-2</v>
      </c>
      <c r="AF158">
        <v>0.42799999999999999</v>
      </c>
      <c r="AG158">
        <v>-1830</v>
      </c>
      <c r="AH158">
        <v>-2</v>
      </c>
      <c r="AI158">
        <v>0.23</v>
      </c>
      <c r="AJ158">
        <v>0.379</v>
      </c>
      <c r="AK158">
        <v>-1080</v>
      </c>
      <c r="AL158">
        <v>180</v>
      </c>
      <c r="AM158" t="s">
        <v>44</v>
      </c>
      <c r="AN158">
        <v>3.9</v>
      </c>
      <c r="AO158" t="s">
        <v>70</v>
      </c>
      <c r="AP158">
        <v>1</v>
      </c>
      <c r="AQ158">
        <v>12</v>
      </c>
    </row>
    <row r="159" spans="1:43" x14ac:dyDescent="0.2">
      <c r="A159" t="s">
        <v>42</v>
      </c>
      <c r="B159" t="s">
        <v>43</v>
      </c>
      <c r="C159">
        <v>86.14</v>
      </c>
      <c r="D159" t="s">
        <v>44</v>
      </c>
      <c r="G159" t="s">
        <v>44</v>
      </c>
      <c r="H159">
        <v>0.35</v>
      </c>
      <c r="I159" t="s">
        <v>45</v>
      </c>
      <c r="J159" t="s">
        <v>46</v>
      </c>
      <c r="K159">
        <v>265.5</v>
      </c>
      <c r="L159">
        <v>0.2</v>
      </c>
      <c r="M159" t="s">
        <v>47</v>
      </c>
      <c r="N159" t="s">
        <v>44</v>
      </c>
      <c r="O159" t="s">
        <v>44</v>
      </c>
      <c r="P159" t="s">
        <v>44</v>
      </c>
      <c r="Q159" t="s">
        <v>44</v>
      </c>
      <c r="R159">
        <v>0.55000000000000004</v>
      </c>
      <c r="S159" s="5">
        <f t="shared" si="2"/>
        <v>5.39</v>
      </c>
      <c r="T159" t="s">
        <v>44</v>
      </c>
      <c r="U159" t="s">
        <v>44</v>
      </c>
      <c r="V159" t="s">
        <v>48</v>
      </c>
      <c r="W159" t="s">
        <v>44</v>
      </c>
      <c r="X159">
        <v>15</v>
      </c>
      <c r="Y159">
        <v>50</v>
      </c>
      <c r="Z159">
        <v>6</v>
      </c>
      <c r="AA159">
        <v>1000</v>
      </c>
      <c r="AB159" t="s">
        <v>142</v>
      </c>
      <c r="AC159" t="s">
        <v>50</v>
      </c>
      <c r="AD159">
        <v>1</v>
      </c>
      <c r="AE159">
        <v>0.13800000000000001</v>
      </c>
      <c r="AF159">
        <v>0.33100000000000002</v>
      </c>
      <c r="AG159">
        <v>-295</v>
      </c>
      <c r="AH159">
        <v>-2</v>
      </c>
      <c r="AI159">
        <v>0.23</v>
      </c>
      <c r="AJ159">
        <v>0.379</v>
      </c>
      <c r="AK159">
        <v>-1080</v>
      </c>
      <c r="AL159">
        <v>60</v>
      </c>
      <c r="AM159" t="s">
        <v>44</v>
      </c>
      <c r="AN159">
        <v>3.9</v>
      </c>
      <c r="AO159" t="s">
        <v>140</v>
      </c>
      <c r="AP159">
        <v>1</v>
      </c>
      <c r="AQ159">
        <v>264</v>
      </c>
    </row>
    <row r="160" spans="1:43" x14ac:dyDescent="0.2">
      <c r="A160" t="s">
        <v>77</v>
      </c>
      <c r="B160" t="s">
        <v>78</v>
      </c>
      <c r="C160">
        <v>114.19</v>
      </c>
      <c r="D160" t="s">
        <v>44</v>
      </c>
      <c r="G160" t="s">
        <v>44</v>
      </c>
      <c r="H160">
        <v>2</v>
      </c>
      <c r="I160" t="s">
        <v>45</v>
      </c>
      <c r="J160" t="s">
        <v>46</v>
      </c>
      <c r="K160">
        <v>265.5</v>
      </c>
      <c r="L160">
        <v>0.25</v>
      </c>
      <c r="M160" t="s">
        <v>47</v>
      </c>
      <c r="N160" t="s">
        <v>44</v>
      </c>
      <c r="O160" t="s">
        <v>44</v>
      </c>
      <c r="P160" t="s">
        <v>44</v>
      </c>
      <c r="Q160" t="s">
        <v>44</v>
      </c>
      <c r="R160">
        <v>2.25</v>
      </c>
      <c r="S160" s="5">
        <f t="shared" si="2"/>
        <v>18.600000000000001</v>
      </c>
      <c r="T160" t="s">
        <v>44</v>
      </c>
      <c r="U160" t="s">
        <v>44</v>
      </c>
      <c r="V160" t="s">
        <v>48</v>
      </c>
      <c r="W160" t="s">
        <v>44</v>
      </c>
      <c r="X160">
        <v>10</v>
      </c>
      <c r="Y160">
        <v>80</v>
      </c>
      <c r="Z160">
        <v>6</v>
      </c>
      <c r="AA160">
        <v>2000</v>
      </c>
      <c r="AB160" t="s">
        <v>49</v>
      </c>
      <c r="AC160" t="s">
        <v>50</v>
      </c>
      <c r="AD160">
        <v>1</v>
      </c>
      <c r="AE160">
        <v>0.10199999999999999</v>
      </c>
      <c r="AF160">
        <v>0.35799999999999998</v>
      </c>
      <c r="AG160">
        <v>-365</v>
      </c>
      <c r="AH160">
        <v>-2</v>
      </c>
      <c r="AI160">
        <v>0.23</v>
      </c>
      <c r="AJ160">
        <v>0.379</v>
      </c>
      <c r="AK160">
        <v>-1080</v>
      </c>
      <c r="AL160">
        <v>15</v>
      </c>
      <c r="AM160" t="s">
        <v>44</v>
      </c>
      <c r="AN160">
        <v>3.9</v>
      </c>
      <c r="AO160" t="s">
        <v>80</v>
      </c>
      <c r="AP160">
        <v>1</v>
      </c>
      <c r="AQ160">
        <v>266</v>
      </c>
    </row>
    <row r="161" spans="1:43" x14ac:dyDescent="0.2">
      <c r="A161" t="s">
        <v>77</v>
      </c>
      <c r="B161" t="s">
        <v>78</v>
      </c>
      <c r="C161">
        <v>114.19</v>
      </c>
      <c r="D161" t="s">
        <v>44</v>
      </c>
      <c r="G161" t="s">
        <v>44</v>
      </c>
      <c r="H161">
        <v>2</v>
      </c>
      <c r="I161" t="s">
        <v>45</v>
      </c>
      <c r="J161" t="s">
        <v>46</v>
      </c>
      <c r="K161">
        <v>265.5</v>
      </c>
      <c r="L161">
        <v>0.5</v>
      </c>
      <c r="M161" t="s">
        <v>47</v>
      </c>
      <c r="N161" t="s">
        <v>44</v>
      </c>
      <c r="O161" t="s">
        <v>44</v>
      </c>
      <c r="P161" t="s">
        <v>44</v>
      </c>
      <c r="Q161" t="s">
        <v>44</v>
      </c>
      <c r="R161">
        <v>2.5</v>
      </c>
      <c r="S161" s="5">
        <f t="shared" si="2"/>
        <v>9.3000000000000007</v>
      </c>
      <c r="T161" t="s">
        <v>44</v>
      </c>
      <c r="U161" t="s">
        <v>44</v>
      </c>
      <c r="V161" t="s">
        <v>48</v>
      </c>
      <c r="W161" t="s">
        <v>44</v>
      </c>
      <c r="X161">
        <v>5</v>
      </c>
      <c r="Y161">
        <v>80</v>
      </c>
      <c r="Z161">
        <v>6</v>
      </c>
      <c r="AA161">
        <v>2000</v>
      </c>
      <c r="AB161" t="s">
        <v>49</v>
      </c>
      <c r="AC161" t="s">
        <v>50</v>
      </c>
      <c r="AD161">
        <v>1</v>
      </c>
      <c r="AE161">
        <v>0.10199999999999999</v>
      </c>
      <c r="AF161">
        <v>0.35799999999999998</v>
      </c>
      <c r="AG161">
        <v>-365</v>
      </c>
      <c r="AH161">
        <v>-2</v>
      </c>
      <c r="AI161">
        <v>0.23</v>
      </c>
      <c r="AJ161">
        <v>0.379</v>
      </c>
      <c r="AK161">
        <v>-1080</v>
      </c>
      <c r="AL161">
        <v>15</v>
      </c>
      <c r="AM161" t="s">
        <v>44</v>
      </c>
      <c r="AN161">
        <v>3.9</v>
      </c>
      <c r="AO161" t="s">
        <v>80</v>
      </c>
      <c r="AP161">
        <v>1</v>
      </c>
      <c r="AQ161">
        <v>267</v>
      </c>
    </row>
    <row r="162" spans="1:43" x14ac:dyDescent="0.2">
      <c r="A162" t="s">
        <v>54</v>
      </c>
      <c r="B162" t="s">
        <v>55</v>
      </c>
      <c r="C162">
        <v>108.14</v>
      </c>
      <c r="D162" t="s">
        <v>44</v>
      </c>
      <c r="G162" t="s">
        <v>44</v>
      </c>
      <c r="H162">
        <v>1.5</v>
      </c>
      <c r="I162" t="s">
        <v>56</v>
      </c>
      <c r="J162" t="s">
        <v>57</v>
      </c>
      <c r="K162">
        <v>203.02</v>
      </c>
      <c r="L162">
        <v>0.1</v>
      </c>
      <c r="M162" t="s">
        <v>47</v>
      </c>
      <c r="N162" t="s">
        <v>44</v>
      </c>
      <c r="O162" t="s">
        <v>44</v>
      </c>
      <c r="P162" t="s">
        <v>44</v>
      </c>
      <c r="Q162" t="s">
        <v>44</v>
      </c>
      <c r="R162">
        <v>1.6</v>
      </c>
      <c r="S162" s="5">
        <f t="shared" si="2"/>
        <v>28.16</v>
      </c>
      <c r="T162" t="s">
        <v>44</v>
      </c>
      <c r="U162" t="s">
        <v>44</v>
      </c>
      <c r="V162" t="s">
        <v>48</v>
      </c>
      <c r="W162" t="s">
        <v>44</v>
      </c>
      <c r="X162">
        <v>5</v>
      </c>
      <c r="Y162">
        <v>80</v>
      </c>
      <c r="Z162">
        <v>10.3</v>
      </c>
      <c r="AA162">
        <v>2000</v>
      </c>
      <c r="AB162" t="s">
        <v>49</v>
      </c>
      <c r="AC162" t="s">
        <v>52</v>
      </c>
      <c r="AD162">
        <v>1</v>
      </c>
      <c r="AE162">
        <v>0.10199999999999999</v>
      </c>
      <c r="AF162">
        <v>0.35799999999999998</v>
      </c>
      <c r="AG162">
        <v>-365</v>
      </c>
      <c r="AH162">
        <v>-1</v>
      </c>
      <c r="AI162">
        <v>0.18099999999999999</v>
      </c>
      <c r="AJ162">
        <v>0.33200000000000002</v>
      </c>
      <c r="AK162">
        <v>-340</v>
      </c>
      <c r="AL162">
        <v>90</v>
      </c>
      <c r="AM162" t="s">
        <v>44</v>
      </c>
      <c r="AN162">
        <v>3.9</v>
      </c>
      <c r="AO162" t="s">
        <v>58</v>
      </c>
      <c r="AP162">
        <v>1</v>
      </c>
      <c r="AQ162">
        <v>271</v>
      </c>
    </row>
    <row r="163" spans="1:43" x14ac:dyDescent="0.2">
      <c r="A163" t="s">
        <v>59</v>
      </c>
      <c r="B163" t="s">
        <v>60</v>
      </c>
      <c r="C163">
        <v>43.1</v>
      </c>
      <c r="D163" t="s">
        <v>42</v>
      </c>
      <c r="E163" t="s">
        <v>43</v>
      </c>
      <c r="F163">
        <v>86.14</v>
      </c>
      <c r="G163">
        <v>2.33</v>
      </c>
      <c r="H163">
        <v>3</v>
      </c>
      <c r="I163" t="s">
        <v>45</v>
      </c>
      <c r="J163" t="s">
        <v>46</v>
      </c>
      <c r="K163">
        <v>265.5</v>
      </c>
      <c r="L163">
        <v>0.6</v>
      </c>
      <c r="M163" t="s">
        <v>47</v>
      </c>
      <c r="N163" t="s">
        <v>44</v>
      </c>
      <c r="O163" t="s">
        <v>44</v>
      </c>
      <c r="P163" t="s">
        <v>44</v>
      </c>
      <c r="Q163" t="s">
        <v>44</v>
      </c>
      <c r="R163">
        <v>3.6</v>
      </c>
      <c r="S163" s="5">
        <f t="shared" si="2"/>
        <v>26.18</v>
      </c>
      <c r="T163">
        <v>9.5</v>
      </c>
      <c r="U163" t="s">
        <v>44</v>
      </c>
      <c r="V163" t="s">
        <v>48</v>
      </c>
      <c r="W163" t="s">
        <v>44</v>
      </c>
      <c r="X163">
        <v>20</v>
      </c>
      <c r="Y163">
        <v>75</v>
      </c>
      <c r="Z163">
        <v>8</v>
      </c>
      <c r="AA163">
        <v>500</v>
      </c>
      <c r="AB163" t="s">
        <v>69</v>
      </c>
      <c r="AC163" t="s">
        <v>50</v>
      </c>
      <c r="AD163">
        <v>2</v>
      </c>
      <c r="AE163">
        <v>7.1999999999999995E-2</v>
      </c>
      <c r="AF163">
        <v>0.42799999999999999</v>
      </c>
      <c r="AG163">
        <v>-1830</v>
      </c>
      <c r="AH163">
        <v>-2</v>
      </c>
      <c r="AI163">
        <v>0.23</v>
      </c>
      <c r="AJ163">
        <v>0.379</v>
      </c>
      <c r="AK163">
        <v>-1080</v>
      </c>
      <c r="AL163">
        <v>1800</v>
      </c>
      <c r="AM163" t="s">
        <v>44</v>
      </c>
      <c r="AN163">
        <v>3.9</v>
      </c>
      <c r="AO163" t="s">
        <v>143</v>
      </c>
      <c r="AP163">
        <v>1</v>
      </c>
      <c r="AQ163">
        <v>338</v>
      </c>
    </row>
    <row r="164" spans="1:43" x14ac:dyDescent="0.2">
      <c r="A164" t="s">
        <v>42</v>
      </c>
      <c r="B164" t="s">
        <v>43</v>
      </c>
      <c r="C164">
        <v>86.14</v>
      </c>
      <c r="D164" t="s">
        <v>44</v>
      </c>
      <c r="G164" t="s">
        <v>44</v>
      </c>
      <c r="H164">
        <v>1</v>
      </c>
      <c r="I164" t="s">
        <v>45</v>
      </c>
      <c r="J164" t="s">
        <v>46</v>
      </c>
      <c r="K164">
        <v>265.5</v>
      </c>
      <c r="L164">
        <v>0.23</v>
      </c>
      <c r="M164" t="s">
        <v>47</v>
      </c>
      <c r="N164" t="s">
        <v>156</v>
      </c>
      <c r="O164">
        <v>2.5000000000000001E-3</v>
      </c>
      <c r="P164" t="s">
        <v>44</v>
      </c>
      <c r="Q164" t="s">
        <v>44</v>
      </c>
      <c r="R164">
        <v>1.23</v>
      </c>
      <c r="S164" s="5">
        <f t="shared" si="2"/>
        <v>13.4</v>
      </c>
      <c r="T164" t="s">
        <v>44</v>
      </c>
      <c r="U164" t="s">
        <v>44</v>
      </c>
      <c r="V164" t="s">
        <v>48</v>
      </c>
      <c r="W164" t="s">
        <v>44</v>
      </c>
      <c r="X164">
        <v>5</v>
      </c>
      <c r="Y164">
        <v>80</v>
      </c>
      <c r="Z164">
        <v>6</v>
      </c>
      <c r="AA164">
        <v>2000</v>
      </c>
      <c r="AB164" t="s">
        <v>49</v>
      </c>
      <c r="AC164" t="s">
        <v>50</v>
      </c>
      <c r="AD164">
        <v>1</v>
      </c>
      <c r="AE164">
        <v>0.10199999999999999</v>
      </c>
      <c r="AF164">
        <v>0.35799999999999998</v>
      </c>
      <c r="AG164">
        <v>-365</v>
      </c>
      <c r="AH164">
        <v>-2</v>
      </c>
      <c r="AI164">
        <v>0.23</v>
      </c>
      <c r="AJ164">
        <v>0.379</v>
      </c>
      <c r="AK164">
        <v>-1080</v>
      </c>
      <c r="AL164">
        <v>30</v>
      </c>
      <c r="AM164" t="s">
        <v>44</v>
      </c>
      <c r="AN164">
        <v>3.9</v>
      </c>
      <c r="AO164" t="s">
        <v>157</v>
      </c>
      <c r="AP164">
        <v>1</v>
      </c>
      <c r="AQ164">
        <v>424</v>
      </c>
    </row>
    <row r="165" spans="1:43" x14ac:dyDescent="0.2">
      <c r="A165" t="s">
        <v>42</v>
      </c>
      <c r="B165" t="s">
        <v>43</v>
      </c>
      <c r="C165">
        <v>86.14</v>
      </c>
      <c r="D165" t="s">
        <v>44</v>
      </c>
      <c r="G165" t="s">
        <v>44</v>
      </c>
      <c r="H165">
        <v>1</v>
      </c>
      <c r="I165" t="s">
        <v>45</v>
      </c>
      <c r="J165" t="s">
        <v>46</v>
      </c>
      <c r="K165">
        <v>265.5</v>
      </c>
      <c r="L165">
        <v>0.23</v>
      </c>
      <c r="M165" t="s">
        <v>47</v>
      </c>
      <c r="N165" t="s">
        <v>156</v>
      </c>
      <c r="O165">
        <v>5.0000000000000001E-3</v>
      </c>
      <c r="P165" t="s">
        <v>44</v>
      </c>
      <c r="Q165" t="s">
        <v>44</v>
      </c>
      <c r="R165">
        <v>1.23</v>
      </c>
      <c r="S165" s="5">
        <f t="shared" si="2"/>
        <v>13.4</v>
      </c>
      <c r="T165" t="s">
        <v>44</v>
      </c>
      <c r="U165" t="s">
        <v>44</v>
      </c>
      <c r="V165" t="s">
        <v>48</v>
      </c>
      <c r="W165" t="s">
        <v>44</v>
      </c>
      <c r="X165">
        <v>5</v>
      </c>
      <c r="Y165">
        <v>80</v>
      </c>
      <c r="Z165">
        <v>6</v>
      </c>
      <c r="AA165">
        <v>2000</v>
      </c>
      <c r="AB165" t="s">
        <v>49</v>
      </c>
      <c r="AC165" t="s">
        <v>50</v>
      </c>
      <c r="AD165">
        <v>1</v>
      </c>
      <c r="AE165">
        <v>0.10199999999999999</v>
      </c>
      <c r="AF165">
        <v>0.35799999999999998</v>
      </c>
      <c r="AG165">
        <v>-365</v>
      </c>
      <c r="AH165">
        <v>-2</v>
      </c>
      <c r="AI165">
        <v>0.23</v>
      </c>
      <c r="AJ165">
        <v>0.379</v>
      </c>
      <c r="AK165">
        <v>-1080</v>
      </c>
      <c r="AL165">
        <v>30</v>
      </c>
      <c r="AM165" t="s">
        <v>44</v>
      </c>
      <c r="AN165">
        <v>3.9</v>
      </c>
      <c r="AO165" t="s">
        <v>157</v>
      </c>
      <c r="AP165">
        <v>1</v>
      </c>
      <c r="AQ165">
        <v>425</v>
      </c>
    </row>
    <row r="166" spans="1:43" x14ac:dyDescent="0.2">
      <c r="A166" t="s">
        <v>67</v>
      </c>
      <c r="B166" t="s">
        <v>68</v>
      </c>
      <c r="C166">
        <v>210.27</v>
      </c>
      <c r="D166" t="s">
        <v>44</v>
      </c>
      <c r="G166" t="s">
        <v>44</v>
      </c>
      <c r="H166">
        <v>4</v>
      </c>
      <c r="I166" t="s">
        <v>45</v>
      </c>
      <c r="J166" t="s">
        <v>46</v>
      </c>
      <c r="K166">
        <v>265.5</v>
      </c>
      <c r="L166">
        <v>0.05</v>
      </c>
      <c r="M166" t="s">
        <v>47</v>
      </c>
      <c r="N166" t="s">
        <v>61</v>
      </c>
      <c r="O166">
        <v>0.1</v>
      </c>
      <c r="P166" t="s">
        <v>44</v>
      </c>
      <c r="Q166" t="s">
        <v>44</v>
      </c>
      <c r="R166">
        <v>4.05</v>
      </c>
      <c r="S166" s="5">
        <f t="shared" si="2"/>
        <v>101.01</v>
      </c>
      <c r="T166" t="s">
        <v>44</v>
      </c>
      <c r="U166" t="s">
        <v>44</v>
      </c>
      <c r="V166" t="s">
        <v>48</v>
      </c>
      <c r="W166" t="s">
        <v>44</v>
      </c>
      <c r="X166">
        <v>15</v>
      </c>
      <c r="Y166">
        <v>80</v>
      </c>
      <c r="Z166">
        <v>4</v>
      </c>
      <c r="AA166">
        <v>2000</v>
      </c>
      <c r="AB166" t="s">
        <v>69</v>
      </c>
      <c r="AC166" t="s">
        <v>50</v>
      </c>
      <c r="AD166">
        <v>2</v>
      </c>
      <c r="AE166">
        <v>7.1999999999999995E-2</v>
      </c>
      <c r="AF166">
        <v>0.42799999999999999</v>
      </c>
      <c r="AG166">
        <v>-1830</v>
      </c>
      <c r="AH166">
        <v>-2</v>
      </c>
      <c r="AI166">
        <v>0.23</v>
      </c>
      <c r="AJ166">
        <v>0.379</v>
      </c>
      <c r="AK166">
        <v>-1080</v>
      </c>
      <c r="AL166">
        <v>180</v>
      </c>
      <c r="AM166" t="s">
        <v>44</v>
      </c>
      <c r="AN166">
        <v>4</v>
      </c>
      <c r="AO166" t="s">
        <v>70</v>
      </c>
      <c r="AP166">
        <v>1</v>
      </c>
      <c r="AQ166">
        <v>11</v>
      </c>
    </row>
    <row r="167" spans="1:43" x14ac:dyDescent="0.2">
      <c r="A167" t="s">
        <v>63</v>
      </c>
      <c r="B167" t="s">
        <v>64</v>
      </c>
      <c r="C167">
        <v>228.29</v>
      </c>
      <c r="D167" t="s">
        <v>44</v>
      </c>
      <c r="G167" t="s">
        <v>44</v>
      </c>
      <c r="H167">
        <v>1</v>
      </c>
      <c r="I167" t="s">
        <v>45</v>
      </c>
      <c r="J167" t="s">
        <v>46</v>
      </c>
      <c r="K167">
        <v>265.5</v>
      </c>
      <c r="L167">
        <v>0.15</v>
      </c>
      <c r="M167" t="s">
        <v>47</v>
      </c>
      <c r="N167" t="s">
        <v>44</v>
      </c>
      <c r="O167" t="s">
        <v>44</v>
      </c>
      <c r="P167" t="s">
        <v>44</v>
      </c>
      <c r="Q167" t="s">
        <v>44</v>
      </c>
      <c r="R167">
        <v>1.1499999999999999</v>
      </c>
      <c r="S167" s="5">
        <f t="shared" si="2"/>
        <v>7.75</v>
      </c>
      <c r="T167" t="s">
        <v>44</v>
      </c>
      <c r="U167" t="s">
        <v>44</v>
      </c>
      <c r="V167" t="s">
        <v>48</v>
      </c>
      <c r="W167" t="s">
        <v>44</v>
      </c>
      <c r="X167" t="s">
        <v>44</v>
      </c>
      <c r="Y167" t="s">
        <v>44</v>
      </c>
      <c r="Z167">
        <v>1.72</v>
      </c>
      <c r="AA167">
        <v>5.8659999999999997</v>
      </c>
      <c r="AB167" t="s">
        <v>49</v>
      </c>
      <c r="AC167" t="s">
        <v>52</v>
      </c>
      <c r="AD167">
        <v>1</v>
      </c>
      <c r="AE167">
        <v>0.10199999999999999</v>
      </c>
      <c r="AF167">
        <v>0.35799999999999998</v>
      </c>
      <c r="AG167">
        <v>-365</v>
      </c>
      <c r="AH167">
        <v>-1</v>
      </c>
      <c r="AI167">
        <v>0.18099999999999999</v>
      </c>
      <c r="AJ167">
        <v>0.33200000000000002</v>
      </c>
      <c r="AK167">
        <v>-340</v>
      </c>
      <c r="AL167">
        <v>30</v>
      </c>
      <c r="AM167" t="s">
        <v>44</v>
      </c>
      <c r="AN167">
        <v>4</v>
      </c>
      <c r="AO167" t="s">
        <v>65</v>
      </c>
      <c r="AP167">
        <v>1</v>
      </c>
      <c r="AQ167">
        <v>257</v>
      </c>
    </row>
    <row r="168" spans="1:43" x14ac:dyDescent="0.2">
      <c r="A168" t="s">
        <v>89</v>
      </c>
      <c r="B168" t="s">
        <v>90</v>
      </c>
      <c r="C168">
        <v>136.15</v>
      </c>
      <c r="D168" t="s">
        <v>44</v>
      </c>
      <c r="G168" t="s">
        <v>44</v>
      </c>
      <c r="H168">
        <v>5</v>
      </c>
      <c r="I168" t="s">
        <v>45</v>
      </c>
      <c r="J168" t="s">
        <v>46</v>
      </c>
      <c r="K168">
        <v>265.5</v>
      </c>
      <c r="L168">
        <v>0.45600000000000002</v>
      </c>
      <c r="M168" t="s">
        <v>47</v>
      </c>
      <c r="N168" t="s">
        <v>44</v>
      </c>
      <c r="O168" t="s">
        <v>44</v>
      </c>
      <c r="P168" t="s">
        <v>91</v>
      </c>
      <c r="Q168" t="s">
        <v>44</v>
      </c>
      <c r="R168">
        <v>5.4560000000000004</v>
      </c>
      <c r="S168" s="5">
        <f t="shared" si="2"/>
        <v>21.38</v>
      </c>
      <c r="T168">
        <v>8</v>
      </c>
      <c r="U168" t="s">
        <v>44</v>
      </c>
      <c r="V168" t="s">
        <v>48</v>
      </c>
      <c r="W168" t="s">
        <v>44</v>
      </c>
      <c r="X168">
        <v>40</v>
      </c>
      <c r="Y168">
        <v>60</v>
      </c>
      <c r="Z168">
        <v>5</v>
      </c>
      <c r="AA168">
        <v>1000</v>
      </c>
      <c r="AB168" t="s">
        <v>49</v>
      </c>
      <c r="AC168" t="s">
        <v>50</v>
      </c>
      <c r="AD168">
        <v>1</v>
      </c>
      <c r="AE168">
        <v>0.10199999999999999</v>
      </c>
      <c r="AF168">
        <v>0.35799999999999998</v>
      </c>
      <c r="AG168">
        <v>-365</v>
      </c>
      <c r="AH168">
        <v>-2</v>
      </c>
      <c r="AI168">
        <v>0.23</v>
      </c>
      <c r="AJ168">
        <v>0.379</v>
      </c>
      <c r="AK168">
        <v>-1080</v>
      </c>
      <c r="AL168">
        <v>1200</v>
      </c>
      <c r="AM168" t="s">
        <v>44</v>
      </c>
      <c r="AN168">
        <v>4</v>
      </c>
      <c r="AO168" t="s">
        <v>92</v>
      </c>
      <c r="AP168">
        <v>1</v>
      </c>
      <c r="AQ168">
        <v>258</v>
      </c>
    </row>
    <row r="169" spans="1:43" x14ac:dyDescent="0.2">
      <c r="A169" t="s">
        <v>42</v>
      </c>
      <c r="B169" t="s">
        <v>43</v>
      </c>
      <c r="C169">
        <v>86.14</v>
      </c>
      <c r="D169" t="s">
        <v>44</v>
      </c>
      <c r="G169" t="s">
        <v>44</v>
      </c>
      <c r="H169">
        <v>2</v>
      </c>
      <c r="I169" t="s">
        <v>45</v>
      </c>
      <c r="J169" t="s">
        <v>46</v>
      </c>
      <c r="K169">
        <v>265.5</v>
      </c>
      <c r="L169">
        <v>0.192</v>
      </c>
      <c r="M169" t="s">
        <v>47</v>
      </c>
      <c r="N169" t="s">
        <v>44</v>
      </c>
      <c r="O169" t="s">
        <v>44</v>
      </c>
      <c r="P169" t="s">
        <v>44</v>
      </c>
      <c r="Q169" t="s">
        <v>44</v>
      </c>
      <c r="R169">
        <v>2.1920000000000002</v>
      </c>
      <c r="S169" s="5">
        <f t="shared" si="2"/>
        <v>32.11</v>
      </c>
      <c r="T169" t="s">
        <v>44</v>
      </c>
      <c r="U169" t="s">
        <v>44</v>
      </c>
      <c r="V169" t="s">
        <v>48</v>
      </c>
      <c r="W169" t="s">
        <v>44</v>
      </c>
      <c r="X169">
        <v>5</v>
      </c>
      <c r="Y169">
        <v>60</v>
      </c>
      <c r="Z169">
        <v>5</v>
      </c>
      <c r="AA169">
        <v>1000</v>
      </c>
      <c r="AB169" t="s">
        <v>69</v>
      </c>
      <c r="AC169" t="s">
        <v>50</v>
      </c>
      <c r="AD169">
        <v>2</v>
      </c>
      <c r="AE169">
        <v>7.1999999999999995E-2</v>
      </c>
      <c r="AF169">
        <v>0.42799999999999999</v>
      </c>
      <c r="AG169">
        <v>-1830</v>
      </c>
      <c r="AH169">
        <v>-2</v>
      </c>
      <c r="AI169">
        <v>0.23</v>
      </c>
      <c r="AJ169">
        <v>0.379</v>
      </c>
      <c r="AK169">
        <v>-1080</v>
      </c>
      <c r="AL169">
        <v>60</v>
      </c>
      <c r="AM169" t="s">
        <v>44</v>
      </c>
      <c r="AN169">
        <v>4</v>
      </c>
      <c r="AO169" t="s">
        <v>134</v>
      </c>
      <c r="AP169">
        <v>1</v>
      </c>
      <c r="AQ169">
        <v>259</v>
      </c>
    </row>
    <row r="170" spans="1:43" x14ac:dyDescent="0.2">
      <c r="A170" t="s">
        <v>42</v>
      </c>
      <c r="B170" t="s">
        <v>43</v>
      </c>
      <c r="C170">
        <v>86.14</v>
      </c>
      <c r="D170" t="s">
        <v>122</v>
      </c>
      <c r="E170" t="s">
        <v>123</v>
      </c>
      <c r="F170">
        <v>160.26</v>
      </c>
      <c r="G170">
        <v>2</v>
      </c>
      <c r="H170">
        <v>2</v>
      </c>
      <c r="I170" t="s">
        <v>45</v>
      </c>
      <c r="J170" t="s">
        <v>46</v>
      </c>
      <c r="K170">
        <v>265.5</v>
      </c>
      <c r="L170">
        <v>0.1</v>
      </c>
      <c r="M170" t="s">
        <v>47</v>
      </c>
      <c r="N170" t="s">
        <v>44</v>
      </c>
      <c r="O170" t="s">
        <v>44</v>
      </c>
      <c r="P170" t="s">
        <v>44</v>
      </c>
      <c r="Q170" t="s">
        <v>44</v>
      </c>
      <c r="R170">
        <v>2.1</v>
      </c>
      <c r="S170" s="5">
        <f t="shared" si="2"/>
        <v>52.14</v>
      </c>
      <c r="T170" t="s">
        <v>44</v>
      </c>
      <c r="U170" t="s">
        <v>44</v>
      </c>
      <c r="V170" t="s">
        <v>48</v>
      </c>
      <c r="W170" t="s">
        <v>44</v>
      </c>
      <c r="X170">
        <v>30</v>
      </c>
      <c r="Y170">
        <v>22</v>
      </c>
      <c r="Z170">
        <v>7</v>
      </c>
      <c r="AA170">
        <v>2000</v>
      </c>
      <c r="AB170" t="s">
        <v>49</v>
      </c>
      <c r="AC170" t="s">
        <v>52</v>
      </c>
      <c r="AD170">
        <v>1</v>
      </c>
      <c r="AE170">
        <v>0.10199999999999999</v>
      </c>
      <c r="AF170">
        <v>0.35799999999999998</v>
      </c>
      <c r="AG170">
        <v>-365</v>
      </c>
      <c r="AH170">
        <v>-1</v>
      </c>
      <c r="AI170">
        <v>0.18099999999999999</v>
      </c>
      <c r="AJ170">
        <v>0.33200000000000002</v>
      </c>
      <c r="AK170">
        <v>-340</v>
      </c>
      <c r="AL170">
        <v>30</v>
      </c>
      <c r="AM170" t="s">
        <v>44</v>
      </c>
      <c r="AN170">
        <v>4</v>
      </c>
      <c r="AO170" t="s">
        <v>124</v>
      </c>
      <c r="AP170">
        <v>1</v>
      </c>
      <c r="AQ170">
        <v>260</v>
      </c>
    </row>
    <row r="171" spans="1:43" x14ac:dyDescent="0.2">
      <c r="A171" t="s">
        <v>42</v>
      </c>
      <c r="B171" t="s">
        <v>43</v>
      </c>
      <c r="C171">
        <v>86.14</v>
      </c>
      <c r="D171" t="s">
        <v>44</v>
      </c>
      <c r="G171" t="s">
        <v>44</v>
      </c>
      <c r="H171">
        <v>0.3</v>
      </c>
      <c r="I171" t="s">
        <v>45</v>
      </c>
      <c r="J171" t="s">
        <v>46</v>
      </c>
      <c r="K171">
        <v>265.5</v>
      </c>
      <c r="L171">
        <v>0.2</v>
      </c>
      <c r="M171" t="s">
        <v>47</v>
      </c>
      <c r="N171" t="s">
        <v>44</v>
      </c>
      <c r="O171" t="s">
        <v>44</v>
      </c>
      <c r="P171" t="s">
        <v>44</v>
      </c>
      <c r="Q171" t="s">
        <v>44</v>
      </c>
      <c r="R171">
        <v>0.5</v>
      </c>
      <c r="S171" s="5">
        <f t="shared" si="2"/>
        <v>4.62</v>
      </c>
      <c r="T171" t="s">
        <v>44</v>
      </c>
      <c r="U171" t="s">
        <v>44</v>
      </c>
      <c r="V171" t="s">
        <v>48</v>
      </c>
      <c r="W171" t="s">
        <v>44</v>
      </c>
      <c r="X171">
        <v>20</v>
      </c>
      <c r="Y171">
        <v>50</v>
      </c>
      <c r="Z171">
        <v>6</v>
      </c>
      <c r="AA171">
        <v>3000</v>
      </c>
      <c r="AB171" t="s">
        <v>49</v>
      </c>
      <c r="AC171" t="s">
        <v>52</v>
      </c>
      <c r="AD171">
        <v>1</v>
      </c>
      <c r="AE171">
        <v>0.10199999999999999</v>
      </c>
      <c r="AF171">
        <v>0.35799999999999998</v>
      </c>
      <c r="AG171">
        <v>-365</v>
      </c>
      <c r="AH171">
        <v>-1</v>
      </c>
      <c r="AI171">
        <v>0.18099999999999999</v>
      </c>
      <c r="AJ171">
        <v>0.33200000000000002</v>
      </c>
      <c r="AK171">
        <v>-340</v>
      </c>
      <c r="AL171">
        <v>120</v>
      </c>
      <c r="AM171" t="s">
        <v>44</v>
      </c>
      <c r="AN171">
        <v>4</v>
      </c>
      <c r="AO171" t="s">
        <v>114</v>
      </c>
      <c r="AP171">
        <v>1</v>
      </c>
      <c r="AQ171">
        <v>261</v>
      </c>
    </row>
    <row r="172" spans="1:43" x14ac:dyDescent="0.2">
      <c r="A172" t="s">
        <v>42</v>
      </c>
      <c r="B172" t="s">
        <v>43</v>
      </c>
      <c r="C172">
        <v>86.14</v>
      </c>
      <c r="D172" t="s">
        <v>44</v>
      </c>
      <c r="G172" t="s">
        <v>44</v>
      </c>
      <c r="H172">
        <v>0.25</v>
      </c>
      <c r="I172" t="s">
        <v>45</v>
      </c>
      <c r="J172" t="s">
        <v>46</v>
      </c>
      <c r="K172">
        <v>265.5</v>
      </c>
      <c r="L172">
        <v>0.2</v>
      </c>
      <c r="M172" t="s">
        <v>47</v>
      </c>
      <c r="N172" t="s">
        <v>44</v>
      </c>
      <c r="O172" t="s">
        <v>44</v>
      </c>
      <c r="P172" t="s">
        <v>44</v>
      </c>
      <c r="Q172" t="s">
        <v>44</v>
      </c>
      <c r="R172">
        <v>0.45</v>
      </c>
      <c r="S172" s="5">
        <f t="shared" si="2"/>
        <v>3.85</v>
      </c>
      <c r="T172" t="s">
        <v>44</v>
      </c>
      <c r="U172" t="s">
        <v>44</v>
      </c>
      <c r="V172" t="s">
        <v>48</v>
      </c>
      <c r="W172" t="s">
        <v>44</v>
      </c>
      <c r="X172">
        <v>20</v>
      </c>
      <c r="Y172">
        <v>50</v>
      </c>
      <c r="Z172">
        <v>6</v>
      </c>
      <c r="AA172">
        <v>3000</v>
      </c>
      <c r="AB172" t="s">
        <v>69</v>
      </c>
      <c r="AC172" t="s">
        <v>50</v>
      </c>
      <c r="AD172">
        <v>2</v>
      </c>
      <c r="AE172">
        <v>7.1999999999999995E-2</v>
      </c>
      <c r="AF172">
        <v>0.42799999999999999</v>
      </c>
      <c r="AG172">
        <v>-1830</v>
      </c>
      <c r="AH172">
        <v>-2</v>
      </c>
      <c r="AI172">
        <v>0.23</v>
      </c>
      <c r="AJ172">
        <v>0.379</v>
      </c>
      <c r="AK172">
        <v>-1080</v>
      </c>
      <c r="AL172">
        <v>120</v>
      </c>
      <c r="AM172" t="s">
        <v>44</v>
      </c>
      <c r="AN172">
        <v>4</v>
      </c>
      <c r="AO172" t="s">
        <v>114</v>
      </c>
      <c r="AP172">
        <v>1</v>
      </c>
      <c r="AQ172">
        <v>262</v>
      </c>
    </row>
    <row r="173" spans="1:43" x14ac:dyDescent="0.2">
      <c r="A173" t="s">
        <v>59</v>
      </c>
      <c r="B173" t="s">
        <v>60</v>
      </c>
      <c r="C173">
        <v>43.1</v>
      </c>
      <c r="D173" t="s">
        <v>42</v>
      </c>
      <c r="E173" t="s">
        <v>43</v>
      </c>
      <c r="F173">
        <v>86.14</v>
      </c>
      <c r="G173">
        <v>2.33</v>
      </c>
      <c r="H173">
        <v>3</v>
      </c>
      <c r="I173" t="s">
        <v>45</v>
      </c>
      <c r="J173" t="s">
        <v>46</v>
      </c>
      <c r="K173">
        <v>265.5</v>
      </c>
      <c r="L173">
        <v>0.6</v>
      </c>
      <c r="M173" t="s">
        <v>47</v>
      </c>
      <c r="N173" t="s">
        <v>44</v>
      </c>
      <c r="O173" t="s">
        <v>44</v>
      </c>
      <c r="P173" t="s">
        <v>44</v>
      </c>
      <c r="Q173" t="s">
        <v>44</v>
      </c>
      <c r="R173">
        <v>3.6</v>
      </c>
      <c r="S173" s="5">
        <f t="shared" si="2"/>
        <v>26.18</v>
      </c>
      <c r="T173">
        <v>9.5</v>
      </c>
      <c r="U173" t="s">
        <v>44</v>
      </c>
      <c r="V173" t="s">
        <v>48</v>
      </c>
      <c r="W173" t="s">
        <v>44</v>
      </c>
      <c r="X173">
        <v>20</v>
      </c>
      <c r="Y173">
        <v>75</v>
      </c>
      <c r="Z173">
        <v>8</v>
      </c>
      <c r="AA173">
        <v>500</v>
      </c>
      <c r="AB173" t="s">
        <v>49</v>
      </c>
      <c r="AC173" t="s">
        <v>50</v>
      </c>
      <c r="AD173">
        <v>1</v>
      </c>
      <c r="AE173">
        <v>0.10199999999999999</v>
      </c>
      <c r="AF173">
        <v>0.35799999999999998</v>
      </c>
      <c r="AG173">
        <v>-365</v>
      </c>
      <c r="AH173">
        <v>-2</v>
      </c>
      <c r="AI173">
        <v>0.23</v>
      </c>
      <c r="AJ173">
        <v>0.379</v>
      </c>
      <c r="AK173">
        <v>-1080</v>
      </c>
      <c r="AL173">
        <v>1800</v>
      </c>
      <c r="AM173" t="s">
        <v>44</v>
      </c>
      <c r="AN173">
        <v>4</v>
      </c>
      <c r="AO173" t="s">
        <v>143</v>
      </c>
      <c r="AP173">
        <v>1</v>
      </c>
      <c r="AQ173">
        <v>337</v>
      </c>
    </row>
    <row r="174" spans="1:43" x14ac:dyDescent="0.2">
      <c r="A174" t="s">
        <v>42</v>
      </c>
      <c r="B174" t="s">
        <v>43</v>
      </c>
      <c r="C174">
        <v>86.14</v>
      </c>
      <c r="D174" t="s">
        <v>44</v>
      </c>
      <c r="G174" t="s">
        <v>44</v>
      </c>
      <c r="H174">
        <v>0.35</v>
      </c>
      <c r="I174" t="s">
        <v>45</v>
      </c>
      <c r="J174" t="s">
        <v>46</v>
      </c>
      <c r="K174">
        <v>265.5</v>
      </c>
      <c r="L174">
        <v>0.2</v>
      </c>
      <c r="M174" t="s">
        <v>47</v>
      </c>
      <c r="N174" t="s">
        <v>44</v>
      </c>
      <c r="O174" t="s">
        <v>44</v>
      </c>
      <c r="P174" t="s">
        <v>44</v>
      </c>
      <c r="Q174" t="s">
        <v>44</v>
      </c>
      <c r="R174">
        <v>0.55000000000000004</v>
      </c>
      <c r="S174" s="5">
        <f t="shared" si="2"/>
        <v>5.39</v>
      </c>
      <c r="T174" t="s">
        <v>44</v>
      </c>
      <c r="U174" t="s">
        <v>44</v>
      </c>
      <c r="V174" t="s">
        <v>48</v>
      </c>
      <c r="W174" t="s">
        <v>44</v>
      </c>
      <c r="X174">
        <v>20</v>
      </c>
      <c r="Y174">
        <v>50</v>
      </c>
      <c r="Z174">
        <v>6</v>
      </c>
      <c r="AA174">
        <v>3000</v>
      </c>
      <c r="AB174" t="s">
        <v>49</v>
      </c>
      <c r="AC174" t="s">
        <v>52</v>
      </c>
      <c r="AD174">
        <v>1</v>
      </c>
      <c r="AE174">
        <v>0.10199999999999999</v>
      </c>
      <c r="AF174">
        <v>0.35799999999999998</v>
      </c>
      <c r="AG174">
        <v>-365</v>
      </c>
      <c r="AH174">
        <v>-1</v>
      </c>
      <c r="AI174">
        <v>0.18099999999999999</v>
      </c>
      <c r="AJ174">
        <v>0.33200000000000002</v>
      </c>
      <c r="AK174">
        <v>-340</v>
      </c>
      <c r="AL174">
        <v>120</v>
      </c>
      <c r="AM174" t="s">
        <v>44</v>
      </c>
      <c r="AN174">
        <v>4.0999999999999996</v>
      </c>
      <c r="AO174" t="s">
        <v>114</v>
      </c>
      <c r="AP174">
        <v>1</v>
      </c>
      <c r="AQ174">
        <v>253</v>
      </c>
    </row>
    <row r="175" spans="1:43" x14ac:dyDescent="0.2">
      <c r="A175" t="s">
        <v>42</v>
      </c>
      <c r="B175" t="s">
        <v>43</v>
      </c>
      <c r="C175">
        <v>86.14</v>
      </c>
      <c r="D175" t="s">
        <v>44</v>
      </c>
      <c r="G175" t="s">
        <v>44</v>
      </c>
      <c r="H175">
        <v>1.76</v>
      </c>
      <c r="I175" t="s">
        <v>116</v>
      </c>
      <c r="J175" t="s">
        <v>117</v>
      </c>
      <c r="K175">
        <v>423.7</v>
      </c>
      <c r="L175">
        <v>0.03</v>
      </c>
      <c r="M175" t="s">
        <v>111</v>
      </c>
      <c r="N175" t="s">
        <v>61</v>
      </c>
      <c r="O175">
        <v>0.01</v>
      </c>
      <c r="P175" t="s">
        <v>118</v>
      </c>
      <c r="Q175">
        <v>4</v>
      </c>
      <c r="R175">
        <v>1.79</v>
      </c>
      <c r="S175" s="5">
        <f t="shared" si="2"/>
        <v>288.57</v>
      </c>
      <c r="T175" t="s">
        <v>44</v>
      </c>
      <c r="U175" t="s">
        <v>44</v>
      </c>
      <c r="V175" t="s">
        <v>48</v>
      </c>
      <c r="W175" t="s">
        <v>44</v>
      </c>
      <c r="X175">
        <v>10</v>
      </c>
      <c r="Y175">
        <v>50</v>
      </c>
      <c r="Z175">
        <v>5</v>
      </c>
      <c r="AA175">
        <v>500</v>
      </c>
      <c r="AB175" t="s">
        <v>49</v>
      </c>
      <c r="AC175" t="s">
        <v>50</v>
      </c>
      <c r="AD175">
        <v>1</v>
      </c>
      <c r="AE175">
        <v>0.10199999999999999</v>
      </c>
      <c r="AF175">
        <v>0.35799999999999998</v>
      </c>
      <c r="AG175">
        <v>-365</v>
      </c>
      <c r="AH175">
        <v>-2</v>
      </c>
      <c r="AI175">
        <v>0.23</v>
      </c>
      <c r="AJ175">
        <v>0.379</v>
      </c>
      <c r="AK175">
        <v>-1080</v>
      </c>
      <c r="AL175">
        <v>480</v>
      </c>
      <c r="AM175" t="s">
        <v>44</v>
      </c>
      <c r="AN175">
        <v>4.0999999999999996</v>
      </c>
      <c r="AO175" t="s">
        <v>121</v>
      </c>
      <c r="AP175">
        <v>3</v>
      </c>
      <c r="AQ175">
        <v>254</v>
      </c>
    </row>
    <row r="176" spans="1:43" x14ac:dyDescent="0.2">
      <c r="A176" t="s">
        <v>42</v>
      </c>
      <c r="B176" t="s">
        <v>43</v>
      </c>
      <c r="C176">
        <v>86.14</v>
      </c>
      <c r="D176" t="s">
        <v>74</v>
      </c>
      <c r="E176" t="s">
        <v>75</v>
      </c>
      <c r="F176">
        <v>200.23</v>
      </c>
      <c r="G176">
        <v>0.43</v>
      </c>
      <c r="H176">
        <v>1</v>
      </c>
      <c r="I176" t="s">
        <v>45</v>
      </c>
      <c r="J176" t="s">
        <v>46</v>
      </c>
      <c r="K176">
        <v>265.5</v>
      </c>
      <c r="L176">
        <v>0.15</v>
      </c>
      <c r="M176" t="s">
        <v>47</v>
      </c>
      <c r="N176" t="s">
        <v>141</v>
      </c>
      <c r="O176">
        <v>0.25</v>
      </c>
      <c r="P176" t="s">
        <v>85</v>
      </c>
      <c r="Q176">
        <v>0.28000000000000003</v>
      </c>
      <c r="R176">
        <v>1.1499999999999999</v>
      </c>
      <c r="S176" s="5">
        <f t="shared" si="2"/>
        <v>12.36</v>
      </c>
      <c r="T176" t="s">
        <v>44</v>
      </c>
      <c r="U176" t="s">
        <v>44</v>
      </c>
      <c r="V176" t="s">
        <v>48</v>
      </c>
      <c r="W176" t="s">
        <v>44</v>
      </c>
      <c r="X176">
        <v>3</v>
      </c>
      <c r="Y176">
        <v>80</v>
      </c>
      <c r="Z176">
        <v>6</v>
      </c>
      <c r="AA176">
        <v>2000</v>
      </c>
      <c r="AB176" t="s">
        <v>69</v>
      </c>
      <c r="AC176" t="s">
        <v>52</v>
      </c>
      <c r="AD176">
        <v>2</v>
      </c>
      <c r="AE176">
        <v>7.1999999999999995E-2</v>
      </c>
      <c r="AF176">
        <v>0.42799999999999999</v>
      </c>
      <c r="AG176">
        <v>-1830</v>
      </c>
      <c r="AH176">
        <v>-1</v>
      </c>
      <c r="AI176">
        <v>0.18099999999999999</v>
      </c>
      <c r="AJ176">
        <v>0.33200000000000002</v>
      </c>
      <c r="AK176">
        <v>-340</v>
      </c>
      <c r="AL176">
        <v>15</v>
      </c>
      <c r="AM176" t="s">
        <v>44</v>
      </c>
      <c r="AN176">
        <v>4.0999999999999996</v>
      </c>
      <c r="AO176" t="s">
        <v>76</v>
      </c>
      <c r="AP176">
        <v>1</v>
      </c>
      <c r="AQ176">
        <v>255</v>
      </c>
    </row>
    <row r="177" spans="1:43" x14ac:dyDescent="0.2">
      <c r="A177" t="s">
        <v>42</v>
      </c>
      <c r="B177" t="s">
        <v>43</v>
      </c>
      <c r="C177">
        <v>86.14</v>
      </c>
      <c r="D177" t="s">
        <v>74</v>
      </c>
      <c r="E177" t="s">
        <v>75</v>
      </c>
      <c r="F177">
        <v>200.23</v>
      </c>
      <c r="G177">
        <v>0.43</v>
      </c>
      <c r="H177">
        <v>1</v>
      </c>
      <c r="I177" t="s">
        <v>45</v>
      </c>
      <c r="J177" t="s">
        <v>46</v>
      </c>
      <c r="K177">
        <v>265.5</v>
      </c>
      <c r="L177">
        <v>0.15</v>
      </c>
      <c r="M177" t="s">
        <v>47</v>
      </c>
      <c r="N177" t="s">
        <v>141</v>
      </c>
      <c r="O177">
        <v>0.25</v>
      </c>
      <c r="P177" t="s">
        <v>85</v>
      </c>
      <c r="Q177">
        <v>0.28000000000000003</v>
      </c>
      <c r="R177">
        <v>1.1499999999999999</v>
      </c>
      <c r="S177" s="5">
        <f t="shared" si="2"/>
        <v>12.36</v>
      </c>
      <c r="T177" t="s">
        <v>44</v>
      </c>
      <c r="U177" t="s">
        <v>44</v>
      </c>
      <c r="V177" t="s">
        <v>48</v>
      </c>
      <c r="W177" t="s">
        <v>44</v>
      </c>
      <c r="X177">
        <v>3</v>
      </c>
      <c r="Y177">
        <v>80</v>
      </c>
      <c r="Z177">
        <v>6</v>
      </c>
      <c r="AA177">
        <v>2000</v>
      </c>
      <c r="AB177" t="s">
        <v>49</v>
      </c>
      <c r="AC177" t="s">
        <v>52</v>
      </c>
      <c r="AD177">
        <v>1</v>
      </c>
      <c r="AE177">
        <v>0.10199999999999999</v>
      </c>
      <c r="AF177">
        <v>0.35799999999999998</v>
      </c>
      <c r="AG177">
        <v>-365</v>
      </c>
      <c r="AH177">
        <v>-1</v>
      </c>
      <c r="AI177">
        <v>0.18099999999999999</v>
      </c>
      <c r="AJ177">
        <v>0.33200000000000002</v>
      </c>
      <c r="AK177">
        <v>-340</v>
      </c>
      <c r="AL177">
        <v>15</v>
      </c>
      <c r="AM177" t="s">
        <v>44</v>
      </c>
      <c r="AN177">
        <v>4.0999999999999996</v>
      </c>
      <c r="AO177" t="s">
        <v>76</v>
      </c>
      <c r="AP177">
        <v>1</v>
      </c>
      <c r="AQ177">
        <v>256</v>
      </c>
    </row>
    <row r="178" spans="1:43" x14ac:dyDescent="0.2">
      <c r="A178" t="s">
        <v>42</v>
      </c>
      <c r="B178" t="s">
        <v>43</v>
      </c>
      <c r="C178">
        <v>86.14</v>
      </c>
      <c r="D178" t="s">
        <v>44</v>
      </c>
      <c r="G178" t="s">
        <v>44</v>
      </c>
      <c r="H178">
        <v>0.2</v>
      </c>
      <c r="I178" t="s">
        <v>45</v>
      </c>
      <c r="J178" t="s">
        <v>46</v>
      </c>
      <c r="K178">
        <v>265.5</v>
      </c>
      <c r="L178">
        <v>0.2</v>
      </c>
      <c r="M178" t="s">
        <v>47</v>
      </c>
      <c r="N178" t="s">
        <v>44</v>
      </c>
      <c r="O178" t="s">
        <v>44</v>
      </c>
      <c r="P178" t="s">
        <v>44</v>
      </c>
      <c r="Q178" t="s">
        <v>44</v>
      </c>
      <c r="R178">
        <v>0.4</v>
      </c>
      <c r="S178" s="5">
        <f t="shared" si="2"/>
        <v>3.08</v>
      </c>
      <c r="T178" t="s">
        <v>44</v>
      </c>
      <c r="U178" t="s">
        <v>44</v>
      </c>
      <c r="V178" t="s">
        <v>48</v>
      </c>
      <c r="W178" t="s">
        <v>44</v>
      </c>
      <c r="X178">
        <v>20</v>
      </c>
      <c r="Y178">
        <v>50</v>
      </c>
      <c r="Z178">
        <v>6</v>
      </c>
      <c r="AA178">
        <v>3000</v>
      </c>
      <c r="AB178" t="s">
        <v>69</v>
      </c>
      <c r="AC178" t="s">
        <v>50</v>
      </c>
      <c r="AD178">
        <v>2</v>
      </c>
      <c r="AE178">
        <v>7.1999999999999995E-2</v>
      </c>
      <c r="AF178">
        <v>0.42799999999999999</v>
      </c>
      <c r="AG178">
        <v>-1830</v>
      </c>
      <c r="AH178">
        <v>-2</v>
      </c>
      <c r="AI178">
        <v>0.23</v>
      </c>
      <c r="AJ178">
        <v>0.379</v>
      </c>
      <c r="AK178">
        <v>-1080</v>
      </c>
      <c r="AL178">
        <v>120</v>
      </c>
      <c r="AM178" t="s">
        <v>44</v>
      </c>
      <c r="AN178">
        <v>4.2</v>
      </c>
      <c r="AO178" t="s">
        <v>114</v>
      </c>
      <c r="AP178">
        <v>1</v>
      </c>
      <c r="AQ178">
        <v>250</v>
      </c>
    </row>
    <row r="179" spans="1:43" x14ac:dyDescent="0.2">
      <c r="A179" t="s">
        <v>42</v>
      </c>
      <c r="B179" t="s">
        <v>43</v>
      </c>
      <c r="C179">
        <v>86.14</v>
      </c>
      <c r="D179" t="s">
        <v>44</v>
      </c>
      <c r="G179" t="s">
        <v>44</v>
      </c>
      <c r="H179">
        <v>0.35</v>
      </c>
      <c r="I179" t="s">
        <v>45</v>
      </c>
      <c r="J179" t="s">
        <v>46</v>
      </c>
      <c r="K179">
        <v>265.5</v>
      </c>
      <c r="L179">
        <v>0.2</v>
      </c>
      <c r="M179" t="s">
        <v>47</v>
      </c>
      <c r="N179" t="s">
        <v>44</v>
      </c>
      <c r="O179" t="s">
        <v>44</v>
      </c>
      <c r="P179" t="s">
        <v>44</v>
      </c>
      <c r="Q179" t="s">
        <v>44</v>
      </c>
      <c r="R179">
        <v>0.55000000000000004</v>
      </c>
      <c r="S179" s="5">
        <f t="shared" si="2"/>
        <v>5.39</v>
      </c>
      <c r="T179" t="s">
        <v>44</v>
      </c>
      <c r="U179" t="s">
        <v>44</v>
      </c>
      <c r="V179" t="s">
        <v>48</v>
      </c>
      <c r="W179" t="s">
        <v>44</v>
      </c>
      <c r="X179">
        <v>15</v>
      </c>
      <c r="Y179">
        <v>50</v>
      </c>
      <c r="Z179">
        <v>6</v>
      </c>
      <c r="AA179">
        <v>1000</v>
      </c>
      <c r="AB179" t="s">
        <v>49</v>
      </c>
      <c r="AC179" t="s">
        <v>50</v>
      </c>
      <c r="AD179">
        <v>1</v>
      </c>
      <c r="AE179">
        <v>0.10199999999999999</v>
      </c>
      <c r="AF179">
        <v>0.35799999999999998</v>
      </c>
      <c r="AG179">
        <v>-365</v>
      </c>
      <c r="AH179">
        <v>-2</v>
      </c>
      <c r="AI179">
        <v>0.23</v>
      </c>
      <c r="AJ179">
        <v>0.379</v>
      </c>
      <c r="AK179">
        <v>-1080</v>
      </c>
      <c r="AL179">
        <v>60</v>
      </c>
      <c r="AM179" t="s">
        <v>44</v>
      </c>
      <c r="AN179">
        <v>4.2</v>
      </c>
      <c r="AO179" t="s">
        <v>140</v>
      </c>
      <c r="AP179">
        <v>1</v>
      </c>
      <c r="AQ179">
        <v>251</v>
      </c>
    </row>
    <row r="180" spans="1:43" x14ac:dyDescent="0.2">
      <c r="A180" t="s">
        <v>77</v>
      </c>
      <c r="B180" t="s">
        <v>78</v>
      </c>
      <c r="C180">
        <v>114.19</v>
      </c>
      <c r="D180" t="s">
        <v>44</v>
      </c>
      <c r="G180" t="s">
        <v>44</v>
      </c>
      <c r="H180">
        <v>1</v>
      </c>
      <c r="I180" t="s">
        <v>45</v>
      </c>
      <c r="J180" t="s">
        <v>46</v>
      </c>
      <c r="K180">
        <v>265.5</v>
      </c>
      <c r="L180">
        <v>0.15</v>
      </c>
      <c r="M180" t="s">
        <v>47</v>
      </c>
      <c r="N180" t="s">
        <v>44</v>
      </c>
      <c r="O180" t="s">
        <v>44</v>
      </c>
      <c r="P180" t="s">
        <v>44</v>
      </c>
      <c r="Q180" t="s">
        <v>44</v>
      </c>
      <c r="R180">
        <v>1.1499999999999999</v>
      </c>
      <c r="S180" s="5">
        <f t="shared" si="2"/>
        <v>15.5</v>
      </c>
      <c r="T180" t="s">
        <v>44</v>
      </c>
      <c r="U180" t="s">
        <v>44</v>
      </c>
      <c r="V180" t="s">
        <v>48</v>
      </c>
      <c r="W180" t="s">
        <v>44</v>
      </c>
      <c r="X180">
        <v>5</v>
      </c>
      <c r="Y180">
        <v>80</v>
      </c>
      <c r="Z180">
        <v>6</v>
      </c>
      <c r="AA180">
        <v>2000</v>
      </c>
      <c r="AB180" t="s">
        <v>49</v>
      </c>
      <c r="AC180" t="s">
        <v>50</v>
      </c>
      <c r="AD180">
        <v>1</v>
      </c>
      <c r="AE180">
        <v>0.10199999999999999</v>
      </c>
      <c r="AF180">
        <v>0.35799999999999998</v>
      </c>
      <c r="AG180">
        <v>-365</v>
      </c>
      <c r="AH180">
        <v>-2</v>
      </c>
      <c r="AI180">
        <v>0.23</v>
      </c>
      <c r="AJ180">
        <v>0.379</v>
      </c>
      <c r="AK180">
        <v>-1080</v>
      </c>
      <c r="AL180">
        <v>15</v>
      </c>
      <c r="AM180" t="s">
        <v>44</v>
      </c>
      <c r="AN180">
        <v>4.2</v>
      </c>
      <c r="AO180" t="s">
        <v>80</v>
      </c>
      <c r="AP180">
        <v>1</v>
      </c>
      <c r="AQ180">
        <v>252</v>
      </c>
    </row>
    <row r="181" spans="1:43" x14ac:dyDescent="0.2">
      <c r="A181" t="s">
        <v>144</v>
      </c>
      <c r="B181" t="s">
        <v>145</v>
      </c>
      <c r="C181">
        <v>200.32</v>
      </c>
      <c r="D181" t="s">
        <v>71</v>
      </c>
      <c r="E181" t="s">
        <v>72</v>
      </c>
      <c r="F181">
        <v>101.19</v>
      </c>
      <c r="G181" t="s">
        <v>44</v>
      </c>
      <c r="H181">
        <v>1</v>
      </c>
      <c r="I181" t="s">
        <v>45</v>
      </c>
      <c r="J181" t="s">
        <v>46</v>
      </c>
      <c r="K181">
        <v>265.5</v>
      </c>
      <c r="L181">
        <v>0.1</v>
      </c>
      <c r="M181" t="s">
        <v>98</v>
      </c>
      <c r="N181" t="s">
        <v>61</v>
      </c>
      <c r="O181">
        <v>0.1</v>
      </c>
      <c r="P181" t="s">
        <v>154</v>
      </c>
      <c r="Q181">
        <v>1</v>
      </c>
      <c r="R181">
        <v>1.1000000000000001</v>
      </c>
      <c r="S181" s="5">
        <f t="shared" si="2"/>
        <v>13.25</v>
      </c>
      <c r="T181" t="s">
        <v>44</v>
      </c>
      <c r="U181" t="s">
        <v>61</v>
      </c>
      <c r="V181" t="s">
        <v>106</v>
      </c>
      <c r="W181">
        <v>1</v>
      </c>
      <c r="X181" t="s">
        <v>44</v>
      </c>
      <c r="Y181">
        <v>25</v>
      </c>
      <c r="Z181">
        <v>3</v>
      </c>
      <c r="AA181">
        <v>1000</v>
      </c>
      <c r="AB181" t="s">
        <v>69</v>
      </c>
      <c r="AC181" t="s">
        <v>52</v>
      </c>
      <c r="AD181">
        <v>2</v>
      </c>
      <c r="AE181">
        <v>7.1999999999999995E-2</v>
      </c>
      <c r="AF181">
        <v>0.42799999999999999</v>
      </c>
      <c r="AG181">
        <v>-1830</v>
      </c>
      <c r="AH181">
        <v>-1</v>
      </c>
      <c r="AI181">
        <v>0.18099999999999999</v>
      </c>
      <c r="AJ181">
        <v>0.33200000000000002</v>
      </c>
      <c r="AK181">
        <v>-340</v>
      </c>
      <c r="AL181">
        <v>10</v>
      </c>
      <c r="AM181" t="s">
        <v>44</v>
      </c>
      <c r="AN181">
        <v>4.2</v>
      </c>
      <c r="AO181" t="s">
        <v>155</v>
      </c>
      <c r="AP181">
        <v>1</v>
      </c>
      <c r="AQ181">
        <v>403</v>
      </c>
    </row>
    <row r="182" spans="1:43" x14ac:dyDescent="0.2">
      <c r="A182" t="s">
        <v>42</v>
      </c>
      <c r="B182" t="s">
        <v>43</v>
      </c>
      <c r="C182">
        <v>86.14</v>
      </c>
      <c r="D182" t="s">
        <v>44</v>
      </c>
      <c r="G182" t="s">
        <v>44</v>
      </c>
      <c r="H182">
        <v>1</v>
      </c>
      <c r="I182" t="s">
        <v>45</v>
      </c>
      <c r="J182" t="s">
        <v>46</v>
      </c>
      <c r="K182">
        <v>265.5</v>
      </c>
      <c r="L182">
        <v>0.23</v>
      </c>
      <c r="M182" t="s">
        <v>47</v>
      </c>
      <c r="N182" t="s">
        <v>156</v>
      </c>
      <c r="O182">
        <v>8.0000000000000002E-3</v>
      </c>
      <c r="P182" t="s">
        <v>44</v>
      </c>
      <c r="Q182" t="s">
        <v>44</v>
      </c>
      <c r="R182">
        <v>1.23</v>
      </c>
      <c r="S182" s="5">
        <f t="shared" si="2"/>
        <v>13.4</v>
      </c>
      <c r="T182" t="s">
        <v>44</v>
      </c>
      <c r="U182" t="s">
        <v>44</v>
      </c>
      <c r="V182" t="s">
        <v>48</v>
      </c>
      <c r="W182" t="s">
        <v>44</v>
      </c>
      <c r="X182">
        <v>5</v>
      </c>
      <c r="Y182">
        <v>80</v>
      </c>
      <c r="Z182">
        <v>6</v>
      </c>
      <c r="AA182">
        <v>2000</v>
      </c>
      <c r="AB182" t="s">
        <v>49</v>
      </c>
      <c r="AC182" t="s">
        <v>50</v>
      </c>
      <c r="AD182">
        <v>1</v>
      </c>
      <c r="AE182">
        <v>0.10199999999999999</v>
      </c>
      <c r="AF182">
        <v>0.35799999999999998</v>
      </c>
      <c r="AG182">
        <v>-365</v>
      </c>
      <c r="AH182">
        <v>-2</v>
      </c>
      <c r="AI182">
        <v>0.23</v>
      </c>
      <c r="AJ182">
        <v>0.379</v>
      </c>
      <c r="AK182">
        <v>-1080</v>
      </c>
      <c r="AL182">
        <v>30</v>
      </c>
      <c r="AM182" t="s">
        <v>44</v>
      </c>
      <c r="AN182">
        <v>4.2</v>
      </c>
      <c r="AO182" t="s">
        <v>157</v>
      </c>
      <c r="AP182">
        <v>1</v>
      </c>
      <c r="AQ182">
        <v>426</v>
      </c>
    </row>
    <row r="183" spans="1:43" x14ac:dyDescent="0.2">
      <c r="A183" t="s">
        <v>158</v>
      </c>
      <c r="B183" t="s">
        <v>159</v>
      </c>
      <c r="C183">
        <v>74.13</v>
      </c>
      <c r="D183" t="s">
        <v>44</v>
      </c>
      <c r="G183" t="s">
        <v>44</v>
      </c>
      <c r="H183">
        <v>0.5</v>
      </c>
      <c r="I183" t="s">
        <v>45</v>
      </c>
      <c r="J183" t="s">
        <v>46</v>
      </c>
      <c r="K183">
        <v>265.5</v>
      </c>
      <c r="L183">
        <v>0.24299999999999999</v>
      </c>
      <c r="M183" t="s">
        <v>47</v>
      </c>
      <c r="N183" t="s">
        <v>61</v>
      </c>
      <c r="O183">
        <v>0.01</v>
      </c>
      <c r="P183" t="s">
        <v>44</v>
      </c>
      <c r="Q183" t="s">
        <v>44</v>
      </c>
      <c r="R183">
        <v>0.74299999999999999</v>
      </c>
      <c r="S183" s="5">
        <f t="shared" si="2"/>
        <v>7.37</v>
      </c>
      <c r="T183" t="s">
        <v>44</v>
      </c>
      <c r="U183" t="s">
        <v>44</v>
      </c>
      <c r="V183" t="s">
        <v>48</v>
      </c>
      <c r="W183" t="s">
        <v>44</v>
      </c>
      <c r="X183">
        <v>10</v>
      </c>
      <c r="Y183">
        <v>60</v>
      </c>
      <c r="Z183">
        <v>5</v>
      </c>
      <c r="AA183">
        <v>1000</v>
      </c>
      <c r="AB183" t="s">
        <v>150</v>
      </c>
      <c r="AC183" t="s">
        <v>52</v>
      </c>
      <c r="AD183">
        <v>1</v>
      </c>
      <c r="AE183">
        <v>6.9000000000000006E-2</v>
      </c>
      <c r="AF183">
        <v>0.38200000000000001</v>
      </c>
      <c r="AG183">
        <v>-475</v>
      </c>
      <c r="AH183">
        <v>-1</v>
      </c>
      <c r="AI183">
        <v>0.18099999999999999</v>
      </c>
      <c r="AJ183">
        <v>0.33200000000000002</v>
      </c>
      <c r="AK183">
        <v>-340</v>
      </c>
      <c r="AL183">
        <v>120</v>
      </c>
      <c r="AM183" t="s">
        <v>44</v>
      </c>
      <c r="AN183">
        <v>4.2</v>
      </c>
      <c r="AO183" t="s">
        <v>160</v>
      </c>
      <c r="AP183">
        <v>1</v>
      </c>
      <c r="AQ183">
        <v>427</v>
      </c>
    </row>
    <row r="184" spans="1:43" x14ac:dyDescent="0.2">
      <c r="A184" t="s">
        <v>158</v>
      </c>
      <c r="B184" t="s">
        <v>159</v>
      </c>
      <c r="C184">
        <v>74.13</v>
      </c>
      <c r="D184" t="s">
        <v>44</v>
      </c>
      <c r="G184" t="s">
        <v>44</v>
      </c>
      <c r="H184">
        <v>0.5</v>
      </c>
      <c r="I184" t="s">
        <v>45</v>
      </c>
      <c r="J184" t="s">
        <v>46</v>
      </c>
      <c r="K184">
        <v>265.5</v>
      </c>
      <c r="L184">
        <v>0.24299999999999999</v>
      </c>
      <c r="M184" t="s">
        <v>47</v>
      </c>
      <c r="N184" t="s">
        <v>61</v>
      </c>
      <c r="O184">
        <v>0.01</v>
      </c>
      <c r="P184" t="s">
        <v>44</v>
      </c>
      <c r="Q184" t="s">
        <v>44</v>
      </c>
      <c r="R184">
        <v>0.74299999999999999</v>
      </c>
      <c r="S184" s="5">
        <f t="shared" si="2"/>
        <v>7.37</v>
      </c>
      <c r="T184" t="s">
        <v>44</v>
      </c>
      <c r="U184" t="s">
        <v>44</v>
      </c>
      <c r="V184" t="s">
        <v>48</v>
      </c>
      <c r="W184" t="s">
        <v>44</v>
      </c>
      <c r="X184">
        <v>10</v>
      </c>
      <c r="Y184">
        <v>60</v>
      </c>
      <c r="Z184">
        <v>5</v>
      </c>
      <c r="AA184">
        <v>1000</v>
      </c>
      <c r="AB184" t="s">
        <v>69</v>
      </c>
      <c r="AC184" t="s">
        <v>52</v>
      </c>
      <c r="AD184">
        <v>2</v>
      </c>
      <c r="AE184">
        <v>7.1999999999999995E-2</v>
      </c>
      <c r="AF184">
        <v>0.42799999999999999</v>
      </c>
      <c r="AG184">
        <v>-1830</v>
      </c>
      <c r="AH184">
        <v>-1</v>
      </c>
      <c r="AI184">
        <v>0.18099999999999999</v>
      </c>
      <c r="AJ184">
        <v>0.33200000000000002</v>
      </c>
      <c r="AK184">
        <v>-340</v>
      </c>
      <c r="AL184">
        <v>120</v>
      </c>
      <c r="AM184" t="s">
        <v>44</v>
      </c>
      <c r="AN184">
        <v>4.2</v>
      </c>
      <c r="AO184" t="s">
        <v>160</v>
      </c>
      <c r="AP184">
        <v>1</v>
      </c>
      <c r="AQ184">
        <v>428</v>
      </c>
    </row>
    <row r="185" spans="1:43" x14ac:dyDescent="0.2">
      <c r="A185" t="s">
        <v>59</v>
      </c>
      <c r="B185" t="s">
        <v>60</v>
      </c>
      <c r="C185">
        <v>43.1</v>
      </c>
      <c r="D185" t="s">
        <v>44</v>
      </c>
      <c r="G185" t="s">
        <v>44</v>
      </c>
      <c r="H185">
        <v>1.5</v>
      </c>
      <c r="I185" t="s">
        <v>45</v>
      </c>
      <c r="J185" t="s">
        <v>46</v>
      </c>
      <c r="K185">
        <v>265.5</v>
      </c>
      <c r="L185">
        <v>0.4</v>
      </c>
      <c r="M185" t="s">
        <v>47</v>
      </c>
      <c r="N185" t="s">
        <v>61</v>
      </c>
      <c r="O185">
        <v>0.1</v>
      </c>
      <c r="P185" t="s">
        <v>44</v>
      </c>
      <c r="Q185" t="s">
        <v>44</v>
      </c>
      <c r="R185">
        <v>1.9</v>
      </c>
      <c r="S185" s="5">
        <f t="shared" si="2"/>
        <v>23.1</v>
      </c>
      <c r="T185">
        <v>9.5</v>
      </c>
      <c r="U185" t="s">
        <v>44</v>
      </c>
      <c r="V185" t="s">
        <v>48</v>
      </c>
      <c r="W185" t="s">
        <v>44</v>
      </c>
      <c r="X185">
        <v>20</v>
      </c>
      <c r="Y185">
        <v>95</v>
      </c>
      <c r="Z185">
        <v>8</v>
      </c>
      <c r="AA185">
        <v>500</v>
      </c>
      <c r="AB185" t="s">
        <v>69</v>
      </c>
      <c r="AC185" t="s">
        <v>52</v>
      </c>
      <c r="AD185">
        <v>2</v>
      </c>
      <c r="AE185">
        <v>7.1999999999999995E-2</v>
      </c>
      <c r="AF185">
        <v>0.42799999999999999</v>
      </c>
      <c r="AG185">
        <v>-1830</v>
      </c>
      <c r="AH185">
        <v>-1</v>
      </c>
      <c r="AI185">
        <v>0.18099999999999999</v>
      </c>
      <c r="AJ185">
        <v>0.33200000000000002</v>
      </c>
      <c r="AK185">
        <v>-340</v>
      </c>
      <c r="AL185">
        <v>1800</v>
      </c>
      <c r="AM185" t="s">
        <v>44</v>
      </c>
      <c r="AN185">
        <v>4.3</v>
      </c>
      <c r="AO185" t="s">
        <v>62</v>
      </c>
      <c r="AP185">
        <v>1</v>
      </c>
      <c r="AQ185">
        <v>196</v>
      </c>
    </row>
    <row r="186" spans="1:43" x14ac:dyDescent="0.2">
      <c r="A186" t="s">
        <v>42</v>
      </c>
      <c r="B186" t="s">
        <v>43</v>
      </c>
      <c r="C186">
        <v>86.14</v>
      </c>
      <c r="D186" t="s">
        <v>44</v>
      </c>
      <c r="G186" t="s">
        <v>44</v>
      </c>
      <c r="H186">
        <v>0.25</v>
      </c>
      <c r="I186" t="s">
        <v>45</v>
      </c>
      <c r="J186" t="s">
        <v>46</v>
      </c>
      <c r="K186">
        <v>265.5</v>
      </c>
      <c r="L186">
        <v>0.2</v>
      </c>
      <c r="M186" t="s">
        <v>47</v>
      </c>
      <c r="N186" t="s">
        <v>44</v>
      </c>
      <c r="O186" t="s">
        <v>44</v>
      </c>
      <c r="P186" t="s">
        <v>44</v>
      </c>
      <c r="Q186" t="s">
        <v>44</v>
      </c>
      <c r="R186">
        <v>0.45</v>
      </c>
      <c r="S186" s="5">
        <f t="shared" si="2"/>
        <v>3.85</v>
      </c>
      <c r="T186" t="s">
        <v>44</v>
      </c>
      <c r="U186" t="s">
        <v>44</v>
      </c>
      <c r="V186" t="s">
        <v>48</v>
      </c>
      <c r="W186" t="s">
        <v>44</v>
      </c>
      <c r="X186">
        <v>20</v>
      </c>
      <c r="Y186">
        <v>50</v>
      </c>
      <c r="Z186">
        <v>6</v>
      </c>
      <c r="AA186">
        <v>3000</v>
      </c>
      <c r="AB186" t="s">
        <v>49</v>
      </c>
      <c r="AC186" t="s">
        <v>52</v>
      </c>
      <c r="AD186">
        <v>1</v>
      </c>
      <c r="AE186">
        <v>0.10199999999999999</v>
      </c>
      <c r="AF186">
        <v>0.35799999999999998</v>
      </c>
      <c r="AG186">
        <v>-365</v>
      </c>
      <c r="AH186">
        <v>-1</v>
      </c>
      <c r="AI186">
        <v>0.18099999999999999</v>
      </c>
      <c r="AJ186">
        <v>0.33200000000000002</v>
      </c>
      <c r="AK186">
        <v>-340</v>
      </c>
      <c r="AL186">
        <v>120</v>
      </c>
      <c r="AM186" t="s">
        <v>44</v>
      </c>
      <c r="AN186">
        <v>4.3</v>
      </c>
      <c r="AO186" t="s">
        <v>114</v>
      </c>
      <c r="AP186">
        <v>1</v>
      </c>
      <c r="AQ186">
        <v>246</v>
      </c>
    </row>
    <row r="187" spans="1:43" x14ac:dyDescent="0.2">
      <c r="A187" t="s">
        <v>42</v>
      </c>
      <c r="B187" t="s">
        <v>43</v>
      </c>
      <c r="C187">
        <v>86.14</v>
      </c>
      <c r="D187" t="s">
        <v>44</v>
      </c>
      <c r="G187" t="s">
        <v>44</v>
      </c>
      <c r="H187">
        <v>0.35</v>
      </c>
      <c r="I187" t="s">
        <v>45</v>
      </c>
      <c r="J187" t="s">
        <v>46</v>
      </c>
      <c r="K187">
        <v>265.5</v>
      </c>
      <c r="L187">
        <v>0.3</v>
      </c>
      <c r="M187" t="s">
        <v>47</v>
      </c>
      <c r="N187" t="s">
        <v>44</v>
      </c>
      <c r="O187" t="s">
        <v>44</v>
      </c>
      <c r="P187" t="s">
        <v>44</v>
      </c>
      <c r="Q187" t="s">
        <v>44</v>
      </c>
      <c r="R187">
        <v>0.65</v>
      </c>
      <c r="S187" s="5">
        <f t="shared" si="2"/>
        <v>3.6</v>
      </c>
      <c r="T187" t="s">
        <v>44</v>
      </c>
      <c r="U187" t="s">
        <v>44</v>
      </c>
      <c r="V187" t="s">
        <v>48</v>
      </c>
      <c r="W187" t="s">
        <v>44</v>
      </c>
      <c r="X187">
        <v>20</v>
      </c>
      <c r="Y187">
        <v>50</v>
      </c>
      <c r="Z187">
        <v>6</v>
      </c>
      <c r="AA187">
        <v>3000</v>
      </c>
      <c r="AB187" t="s">
        <v>69</v>
      </c>
      <c r="AC187" t="s">
        <v>50</v>
      </c>
      <c r="AD187">
        <v>2</v>
      </c>
      <c r="AE187">
        <v>7.1999999999999995E-2</v>
      </c>
      <c r="AF187">
        <v>0.42799999999999999</v>
      </c>
      <c r="AG187">
        <v>-1830</v>
      </c>
      <c r="AH187">
        <v>-2</v>
      </c>
      <c r="AI187">
        <v>0.23</v>
      </c>
      <c r="AJ187">
        <v>0.379</v>
      </c>
      <c r="AK187">
        <v>-1080</v>
      </c>
      <c r="AL187">
        <v>120</v>
      </c>
      <c r="AM187" t="s">
        <v>44</v>
      </c>
      <c r="AN187">
        <v>4.3</v>
      </c>
      <c r="AO187" t="s">
        <v>114</v>
      </c>
      <c r="AP187">
        <v>1</v>
      </c>
      <c r="AQ187">
        <v>247</v>
      </c>
    </row>
    <row r="188" spans="1:43" x14ac:dyDescent="0.2">
      <c r="A188" t="s">
        <v>42</v>
      </c>
      <c r="B188" t="s">
        <v>43</v>
      </c>
      <c r="C188">
        <v>86.14</v>
      </c>
      <c r="D188" t="s">
        <v>44</v>
      </c>
      <c r="G188" t="s">
        <v>44</v>
      </c>
      <c r="H188">
        <v>1.5</v>
      </c>
      <c r="I188" t="s">
        <v>45</v>
      </c>
      <c r="J188" t="s">
        <v>46</v>
      </c>
      <c r="K188">
        <v>265.5</v>
      </c>
      <c r="L188">
        <v>0.3</v>
      </c>
      <c r="M188" t="s">
        <v>47</v>
      </c>
      <c r="N188" t="s">
        <v>44</v>
      </c>
      <c r="O188" t="s">
        <v>44</v>
      </c>
      <c r="P188" t="s">
        <v>44</v>
      </c>
      <c r="Q188" t="s">
        <v>44</v>
      </c>
      <c r="R188">
        <v>1.8</v>
      </c>
      <c r="S188" s="5">
        <f t="shared" si="2"/>
        <v>15.41</v>
      </c>
      <c r="T188" t="s">
        <v>44</v>
      </c>
      <c r="U188" t="s">
        <v>44</v>
      </c>
      <c r="V188" t="s">
        <v>48</v>
      </c>
      <c r="W188" t="s">
        <v>44</v>
      </c>
      <c r="X188">
        <v>8</v>
      </c>
      <c r="Y188">
        <v>70</v>
      </c>
      <c r="Z188">
        <v>6</v>
      </c>
      <c r="AA188">
        <v>2000</v>
      </c>
      <c r="AB188" t="s">
        <v>49</v>
      </c>
      <c r="AC188" t="s">
        <v>50</v>
      </c>
      <c r="AD188">
        <v>1</v>
      </c>
      <c r="AE188">
        <v>0.10199999999999999</v>
      </c>
      <c r="AF188">
        <v>0.35799999999999998</v>
      </c>
      <c r="AG188">
        <v>-365</v>
      </c>
      <c r="AH188">
        <v>-2</v>
      </c>
      <c r="AI188">
        <v>0.23</v>
      </c>
      <c r="AJ188">
        <v>0.379</v>
      </c>
      <c r="AK188">
        <v>-1080</v>
      </c>
      <c r="AL188">
        <v>60</v>
      </c>
      <c r="AM188" t="s">
        <v>44</v>
      </c>
      <c r="AN188">
        <v>4.3</v>
      </c>
      <c r="AO188" t="s">
        <v>100</v>
      </c>
      <c r="AP188">
        <v>1</v>
      </c>
      <c r="AQ188">
        <v>249</v>
      </c>
    </row>
    <row r="189" spans="1:43" x14ac:dyDescent="0.2">
      <c r="A189" t="s">
        <v>59</v>
      </c>
      <c r="B189" t="s">
        <v>60</v>
      </c>
      <c r="C189">
        <v>43.1</v>
      </c>
      <c r="D189" t="s">
        <v>44</v>
      </c>
      <c r="G189" t="s">
        <v>44</v>
      </c>
      <c r="H189">
        <v>1.5</v>
      </c>
      <c r="I189" t="s">
        <v>45</v>
      </c>
      <c r="J189" t="s">
        <v>46</v>
      </c>
      <c r="K189">
        <v>265.5</v>
      </c>
      <c r="L189">
        <v>0.4</v>
      </c>
      <c r="M189" t="s">
        <v>47</v>
      </c>
      <c r="N189" t="s">
        <v>61</v>
      </c>
      <c r="O189">
        <v>0.1</v>
      </c>
      <c r="P189" t="s">
        <v>44</v>
      </c>
      <c r="Q189" t="s">
        <v>44</v>
      </c>
      <c r="R189">
        <v>1.9</v>
      </c>
      <c r="S189" s="5">
        <f t="shared" si="2"/>
        <v>23.1</v>
      </c>
      <c r="T189">
        <v>9.5</v>
      </c>
      <c r="U189" t="s">
        <v>44</v>
      </c>
      <c r="V189" t="s">
        <v>48</v>
      </c>
      <c r="W189" t="s">
        <v>44</v>
      </c>
      <c r="X189">
        <v>20</v>
      </c>
      <c r="Y189">
        <v>95</v>
      </c>
      <c r="Z189">
        <v>8</v>
      </c>
      <c r="AA189">
        <v>500</v>
      </c>
      <c r="AB189" t="s">
        <v>69</v>
      </c>
      <c r="AC189" t="s">
        <v>50</v>
      </c>
      <c r="AD189">
        <v>2</v>
      </c>
      <c r="AE189">
        <v>7.1999999999999995E-2</v>
      </c>
      <c r="AF189">
        <v>0.42799999999999999</v>
      </c>
      <c r="AG189">
        <v>-1830</v>
      </c>
      <c r="AH189">
        <v>-2</v>
      </c>
      <c r="AI189">
        <v>0.23</v>
      </c>
      <c r="AJ189">
        <v>0.379</v>
      </c>
      <c r="AK189">
        <v>-1080</v>
      </c>
      <c r="AL189">
        <v>1800</v>
      </c>
      <c r="AM189" t="s">
        <v>44</v>
      </c>
      <c r="AN189">
        <v>4.4000000000000004</v>
      </c>
      <c r="AO189" t="s">
        <v>62</v>
      </c>
      <c r="AP189">
        <v>1</v>
      </c>
      <c r="AQ189">
        <v>182</v>
      </c>
    </row>
    <row r="190" spans="1:43" x14ac:dyDescent="0.2">
      <c r="A190" t="s">
        <v>59</v>
      </c>
      <c r="B190" t="s">
        <v>60</v>
      </c>
      <c r="C190">
        <v>43.1</v>
      </c>
      <c r="D190" t="s">
        <v>44</v>
      </c>
      <c r="G190" t="s">
        <v>44</v>
      </c>
      <c r="H190">
        <v>1.5</v>
      </c>
      <c r="I190" t="s">
        <v>45</v>
      </c>
      <c r="J190" t="s">
        <v>46</v>
      </c>
      <c r="K190">
        <v>265.5</v>
      </c>
      <c r="L190">
        <v>0.4</v>
      </c>
      <c r="M190" t="s">
        <v>47</v>
      </c>
      <c r="N190" t="s">
        <v>61</v>
      </c>
      <c r="O190">
        <v>0.1</v>
      </c>
      <c r="P190" t="s">
        <v>44</v>
      </c>
      <c r="Q190" t="s">
        <v>44</v>
      </c>
      <c r="R190">
        <v>1.9</v>
      </c>
      <c r="S190" s="5">
        <f t="shared" si="2"/>
        <v>23.1</v>
      </c>
      <c r="T190">
        <v>9.5</v>
      </c>
      <c r="U190" t="s">
        <v>44</v>
      </c>
      <c r="V190" t="s">
        <v>48</v>
      </c>
      <c r="W190" t="s">
        <v>44</v>
      </c>
      <c r="X190">
        <v>20</v>
      </c>
      <c r="Y190">
        <v>95</v>
      </c>
      <c r="Z190">
        <v>8</v>
      </c>
      <c r="AA190">
        <v>500</v>
      </c>
      <c r="AB190" t="s">
        <v>49</v>
      </c>
      <c r="AC190" t="s">
        <v>50</v>
      </c>
      <c r="AD190">
        <v>1</v>
      </c>
      <c r="AE190">
        <v>0.10199999999999999</v>
      </c>
      <c r="AF190">
        <v>0.35799999999999998</v>
      </c>
      <c r="AG190">
        <v>-365</v>
      </c>
      <c r="AH190">
        <v>-2</v>
      </c>
      <c r="AI190">
        <v>0.23</v>
      </c>
      <c r="AJ190">
        <v>0.379</v>
      </c>
      <c r="AK190">
        <v>-1080</v>
      </c>
      <c r="AL190">
        <v>1800</v>
      </c>
      <c r="AM190" t="s">
        <v>44</v>
      </c>
      <c r="AN190">
        <v>4.4000000000000004</v>
      </c>
      <c r="AO190" t="s">
        <v>62</v>
      </c>
      <c r="AP190">
        <v>1</v>
      </c>
      <c r="AQ190">
        <v>188</v>
      </c>
    </row>
    <row r="191" spans="1:43" x14ac:dyDescent="0.2">
      <c r="A191" t="s">
        <v>42</v>
      </c>
      <c r="B191" t="s">
        <v>43</v>
      </c>
      <c r="C191">
        <v>86.14</v>
      </c>
      <c r="D191" t="s">
        <v>44</v>
      </c>
      <c r="G191" t="s">
        <v>44</v>
      </c>
      <c r="H191">
        <v>0.35</v>
      </c>
      <c r="I191" t="s">
        <v>45</v>
      </c>
      <c r="J191" t="s">
        <v>46</v>
      </c>
      <c r="K191">
        <v>265.5</v>
      </c>
      <c r="L191">
        <v>0.25</v>
      </c>
      <c r="M191" t="s">
        <v>47</v>
      </c>
      <c r="N191" t="s">
        <v>44</v>
      </c>
      <c r="O191" t="s">
        <v>44</v>
      </c>
      <c r="P191" t="s">
        <v>44</v>
      </c>
      <c r="Q191" t="s">
        <v>44</v>
      </c>
      <c r="R191">
        <v>0.6</v>
      </c>
      <c r="S191" s="5">
        <f t="shared" si="2"/>
        <v>4.32</v>
      </c>
      <c r="T191" t="s">
        <v>44</v>
      </c>
      <c r="U191" t="s">
        <v>44</v>
      </c>
      <c r="V191" t="s">
        <v>48</v>
      </c>
      <c r="W191" t="s">
        <v>44</v>
      </c>
      <c r="X191">
        <v>20</v>
      </c>
      <c r="Y191">
        <v>50</v>
      </c>
      <c r="Z191">
        <v>6</v>
      </c>
      <c r="AA191">
        <v>3000</v>
      </c>
      <c r="AB191" t="s">
        <v>49</v>
      </c>
      <c r="AC191" t="s">
        <v>52</v>
      </c>
      <c r="AD191">
        <v>1</v>
      </c>
      <c r="AE191">
        <v>0.10199999999999999</v>
      </c>
      <c r="AF191">
        <v>0.35799999999999998</v>
      </c>
      <c r="AG191">
        <v>-365</v>
      </c>
      <c r="AH191">
        <v>-1</v>
      </c>
      <c r="AI191">
        <v>0.18099999999999999</v>
      </c>
      <c r="AJ191">
        <v>0.33200000000000002</v>
      </c>
      <c r="AK191">
        <v>-340</v>
      </c>
      <c r="AL191">
        <v>120</v>
      </c>
      <c r="AM191" t="s">
        <v>44</v>
      </c>
      <c r="AN191">
        <v>4.4000000000000004</v>
      </c>
      <c r="AO191" t="s">
        <v>114</v>
      </c>
      <c r="AP191">
        <v>1</v>
      </c>
      <c r="AQ191">
        <v>242</v>
      </c>
    </row>
    <row r="192" spans="1:43" x14ac:dyDescent="0.2">
      <c r="A192" t="s">
        <v>42</v>
      </c>
      <c r="B192" t="s">
        <v>43</v>
      </c>
      <c r="C192">
        <v>86.14</v>
      </c>
      <c r="D192" t="s">
        <v>71</v>
      </c>
      <c r="E192" t="s">
        <v>72</v>
      </c>
      <c r="F192">
        <v>101.19</v>
      </c>
      <c r="G192">
        <v>1</v>
      </c>
      <c r="H192">
        <v>3.0539999999999998</v>
      </c>
      <c r="I192" t="s">
        <v>45</v>
      </c>
      <c r="J192" t="s">
        <v>46</v>
      </c>
      <c r="K192">
        <v>265.5</v>
      </c>
      <c r="L192">
        <v>0.1</v>
      </c>
      <c r="M192" t="s">
        <v>47</v>
      </c>
      <c r="N192" t="s">
        <v>83</v>
      </c>
      <c r="O192">
        <v>5</v>
      </c>
      <c r="P192" t="s">
        <v>44</v>
      </c>
      <c r="Q192" t="s">
        <v>44</v>
      </c>
      <c r="R192">
        <v>3.1539999999999999</v>
      </c>
      <c r="S192" s="5">
        <f t="shared" si="2"/>
        <v>87.13</v>
      </c>
      <c r="T192" t="s">
        <v>44</v>
      </c>
      <c r="U192" t="s">
        <v>44</v>
      </c>
      <c r="V192" t="s">
        <v>48</v>
      </c>
      <c r="W192" t="s">
        <v>44</v>
      </c>
      <c r="X192">
        <v>10</v>
      </c>
      <c r="Y192" t="s">
        <v>44</v>
      </c>
      <c r="Z192">
        <v>4.8</v>
      </c>
      <c r="AA192">
        <v>2000</v>
      </c>
      <c r="AB192" t="s">
        <v>69</v>
      </c>
      <c r="AC192" t="s">
        <v>50</v>
      </c>
      <c r="AD192">
        <v>2</v>
      </c>
      <c r="AE192">
        <v>7.1999999999999995E-2</v>
      </c>
      <c r="AF192">
        <v>0.42799999999999999</v>
      </c>
      <c r="AG192">
        <v>-1830</v>
      </c>
      <c r="AH192">
        <v>-2</v>
      </c>
      <c r="AI192">
        <v>0.23</v>
      </c>
      <c r="AJ192">
        <v>0.379</v>
      </c>
      <c r="AK192">
        <v>-1080</v>
      </c>
      <c r="AL192">
        <v>60</v>
      </c>
      <c r="AM192" t="s">
        <v>44</v>
      </c>
      <c r="AN192">
        <v>4.4000000000000004</v>
      </c>
      <c r="AO192" t="s">
        <v>73</v>
      </c>
      <c r="AP192">
        <v>1</v>
      </c>
      <c r="AQ192">
        <v>245</v>
      </c>
    </row>
    <row r="193" spans="1:43" x14ac:dyDescent="0.2">
      <c r="A193" s="8" t="s">
        <v>42</v>
      </c>
      <c r="B193" s="8" t="s">
        <v>43</v>
      </c>
      <c r="C193" s="8">
        <v>86.14</v>
      </c>
      <c r="D193" s="8" t="s">
        <v>44</v>
      </c>
      <c r="E193" s="8"/>
      <c r="F193" s="8"/>
      <c r="G193" s="8" t="s">
        <v>44</v>
      </c>
      <c r="H193" s="8">
        <v>2.5</v>
      </c>
      <c r="I193" s="8" t="s">
        <v>45</v>
      </c>
      <c r="J193" s="8" t="s">
        <v>46</v>
      </c>
      <c r="K193" s="8">
        <v>265.5</v>
      </c>
      <c r="L193" s="8">
        <v>0.153</v>
      </c>
      <c r="M193" s="8" t="s">
        <v>98</v>
      </c>
      <c r="N193" s="8" t="s">
        <v>44</v>
      </c>
      <c r="O193" s="8" t="s">
        <v>44</v>
      </c>
      <c r="P193" s="8" t="s">
        <v>44</v>
      </c>
      <c r="Q193" s="8" t="s">
        <v>44</v>
      </c>
      <c r="R193" s="8">
        <v>2.653</v>
      </c>
      <c r="S193" s="9">
        <f t="shared" ref="S193:S256" si="3">ROUND(IF(G193="-", (H193/C193)/(L193/K193), ((G193*H193/C193) + (H193/F193)) / (1+G193) / (L193/K193)),2)</f>
        <v>50.36</v>
      </c>
      <c r="T193" s="8" t="s">
        <v>44</v>
      </c>
      <c r="U193" s="8" t="s">
        <v>44</v>
      </c>
      <c r="V193" s="8" t="s">
        <v>48</v>
      </c>
      <c r="W193" s="8" t="s">
        <v>44</v>
      </c>
      <c r="X193" s="8" t="s">
        <v>44</v>
      </c>
      <c r="Y193" s="8" t="s">
        <v>44</v>
      </c>
      <c r="Z193" s="8">
        <v>10</v>
      </c>
      <c r="AA193" s="8">
        <v>1000</v>
      </c>
      <c r="AB193" s="8" t="s">
        <v>49</v>
      </c>
      <c r="AC193" s="8" t="s">
        <v>50</v>
      </c>
      <c r="AD193" s="8">
        <v>1</v>
      </c>
      <c r="AE193" s="8">
        <v>0.10199999999999999</v>
      </c>
      <c r="AF193" s="8">
        <v>0.35799999999999998</v>
      </c>
      <c r="AG193" s="8">
        <v>-365</v>
      </c>
      <c r="AH193" s="8">
        <v>-2</v>
      </c>
      <c r="AI193" s="8">
        <v>0.23</v>
      </c>
      <c r="AJ193" s="8">
        <v>0.379</v>
      </c>
      <c r="AK193" s="8">
        <v>-1080</v>
      </c>
      <c r="AL193" s="8">
        <v>30</v>
      </c>
      <c r="AM193" s="8" t="s">
        <v>44</v>
      </c>
      <c r="AN193" s="8">
        <v>4.5</v>
      </c>
      <c r="AO193" s="8" t="s">
        <v>105</v>
      </c>
      <c r="AP193" s="8">
        <v>1</v>
      </c>
      <c r="AQ193" s="8">
        <v>237</v>
      </c>
    </row>
    <row r="194" spans="1:43" x14ac:dyDescent="0.2">
      <c r="A194" s="8" t="s">
        <v>42</v>
      </c>
      <c r="B194" s="8" t="s">
        <v>43</v>
      </c>
      <c r="C194" s="8">
        <v>86.14</v>
      </c>
      <c r="D194" s="8" t="s">
        <v>135</v>
      </c>
      <c r="E194" s="8" t="s">
        <v>136</v>
      </c>
      <c r="F194" s="8">
        <v>152.15</v>
      </c>
      <c r="G194" s="8">
        <v>39</v>
      </c>
      <c r="H194" s="8">
        <v>1.95</v>
      </c>
      <c r="I194" s="8" t="s">
        <v>45</v>
      </c>
      <c r="J194" s="8" t="s">
        <v>46</v>
      </c>
      <c r="K194" s="8">
        <v>265.5</v>
      </c>
      <c r="L194" s="8">
        <v>7.6300000000000007E-2</v>
      </c>
      <c r="M194" s="8" t="s">
        <v>47</v>
      </c>
      <c r="N194" s="8" t="s">
        <v>44</v>
      </c>
      <c r="O194" s="8" t="s">
        <v>44</v>
      </c>
      <c r="P194" s="8" t="s">
        <v>44</v>
      </c>
      <c r="Q194" s="8" t="s">
        <v>44</v>
      </c>
      <c r="R194" s="8">
        <v>2.0263</v>
      </c>
      <c r="S194" s="9">
        <f t="shared" si="3"/>
        <v>77.92</v>
      </c>
      <c r="T194" s="8" t="s">
        <v>44</v>
      </c>
      <c r="U194" s="8" t="s">
        <v>44</v>
      </c>
      <c r="V194" s="8" t="s">
        <v>48</v>
      </c>
      <c r="W194" s="8" t="s">
        <v>44</v>
      </c>
      <c r="X194" s="8" t="s">
        <v>44</v>
      </c>
      <c r="Y194" s="8" t="s">
        <v>44</v>
      </c>
      <c r="Z194" s="8">
        <v>4.5</v>
      </c>
      <c r="AA194" s="8">
        <v>585</v>
      </c>
      <c r="AB194" s="8" t="s">
        <v>49</v>
      </c>
      <c r="AC194" s="8" t="s">
        <v>52</v>
      </c>
      <c r="AD194" s="8">
        <v>1</v>
      </c>
      <c r="AE194" s="8">
        <v>0.10199999999999999</v>
      </c>
      <c r="AF194" s="8">
        <v>0.35799999999999998</v>
      </c>
      <c r="AG194" s="8">
        <v>-365</v>
      </c>
      <c r="AH194" s="8">
        <v>-1</v>
      </c>
      <c r="AI194" s="8">
        <v>0.18099999999999999</v>
      </c>
      <c r="AJ194" s="8">
        <v>0.33200000000000002</v>
      </c>
      <c r="AK194" s="8">
        <v>-340</v>
      </c>
      <c r="AL194" s="8">
        <v>5</v>
      </c>
      <c r="AM194" s="8" t="s">
        <v>44</v>
      </c>
      <c r="AN194" s="8">
        <v>4.5</v>
      </c>
      <c r="AO194" s="8" t="s">
        <v>137</v>
      </c>
      <c r="AP194" s="8">
        <v>1</v>
      </c>
      <c r="AQ194" s="8">
        <v>238</v>
      </c>
    </row>
    <row r="195" spans="1:43" x14ac:dyDescent="0.2">
      <c r="A195" s="8" t="s">
        <v>42</v>
      </c>
      <c r="B195" s="8" t="s">
        <v>43</v>
      </c>
      <c r="C195" s="8">
        <v>86.14</v>
      </c>
      <c r="D195" s="8" t="s">
        <v>135</v>
      </c>
      <c r="E195" s="8" t="s">
        <v>136</v>
      </c>
      <c r="F195" s="8">
        <v>152.15</v>
      </c>
      <c r="G195" s="8">
        <v>39</v>
      </c>
      <c r="H195" s="8">
        <v>1.95</v>
      </c>
      <c r="I195" s="8" t="s">
        <v>45</v>
      </c>
      <c r="J195" s="8" t="s">
        <v>46</v>
      </c>
      <c r="K195" s="8">
        <v>265.5</v>
      </c>
      <c r="L195" s="8">
        <v>0.1527</v>
      </c>
      <c r="M195" s="8" t="s">
        <v>47</v>
      </c>
      <c r="N195" s="8" t="s">
        <v>44</v>
      </c>
      <c r="O195" s="8" t="s">
        <v>44</v>
      </c>
      <c r="P195" s="8" t="s">
        <v>44</v>
      </c>
      <c r="Q195" s="8" t="s">
        <v>44</v>
      </c>
      <c r="R195" s="8">
        <v>2.1027</v>
      </c>
      <c r="S195" s="9">
        <f t="shared" si="3"/>
        <v>38.93</v>
      </c>
      <c r="T195" s="8" t="s">
        <v>44</v>
      </c>
      <c r="U195" s="8" t="s">
        <v>44</v>
      </c>
      <c r="V195" s="8" t="s">
        <v>48</v>
      </c>
      <c r="W195" s="8" t="s">
        <v>44</v>
      </c>
      <c r="X195" s="8" t="s">
        <v>44</v>
      </c>
      <c r="Y195" s="8" t="s">
        <v>44</v>
      </c>
      <c r="Z195" s="8">
        <v>4.5</v>
      </c>
      <c r="AA195" s="8">
        <v>585</v>
      </c>
      <c r="AB195" s="8" t="s">
        <v>49</v>
      </c>
      <c r="AC195" s="8" t="s">
        <v>52</v>
      </c>
      <c r="AD195" s="8">
        <v>1</v>
      </c>
      <c r="AE195" s="8">
        <v>0.10199999999999999</v>
      </c>
      <c r="AF195" s="8">
        <v>0.35799999999999998</v>
      </c>
      <c r="AG195" s="8">
        <v>-365</v>
      </c>
      <c r="AH195" s="8">
        <v>-1</v>
      </c>
      <c r="AI195" s="8">
        <v>0.18099999999999999</v>
      </c>
      <c r="AJ195" s="8">
        <v>0.33200000000000002</v>
      </c>
      <c r="AK195" s="8">
        <v>-340</v>
      </c>
      <c r="AL195" s="8">
        <v>5</v>
      </c>
      <c r="AM195" s="8" t="s">
        <v>44</v>
      </c>
      <c r="AN195" s="8">
        <v>4.5</v>
      </c>
      <c r="AO195" s="8" t="s">
        <v>137</v>
      </c>
      <c r="AP195" s="8">
        <v>1</v>
      </c>
      <c r="AQ195" s="8">
        <v>239</v>
      </c>
    </row>
    <row r="196" spans="1:43" x14ac:dyDescent="0.2">
      <c r="A196" s="8" t="s">
        <v>42</v>
      </c>
      <c r="B196" s="8" t="s">
        <v>43</v>
      </c>
      <c r="C196" s="8">
        <v>86.14</v>
      </c>
      <c r="D196" s="8" t="s">
        <v>44</v>
      </c>
      <c r="E196" s="8"/>
      <c r="F196" s="8"/>
      <c r="G196" s="8" t="s">
        <v>44</v>
      </c>
      <c r="H196" s="8">
        <v>1.76</v>
      </c>
      <c r="I196" s="8" t="s">
        <v>116</v>
      </c>
      <c r="J196" s="8" t="s">
        <v>117</v>
      </c>
      <c r="K196" s="8">
        <v>423.7</v>
      </c>
      <c r="L196" s="8">
        <v>0.03</v>
      </c>
      <c r="M196" s="8" t="s">
        <v>111</v>
      </c>
      <c r="N196" s="8" t="s">
        <v>61</v>
      </c>
      <c r="O196" s="8">
        <v>0.01</v>
      </c>
      <c r="P196" s="8" t="s">
        <v>118</v>
      </c>
      <c r="Q196" s="8">
        <v>4</v>
      </c>
      <c r="R196" s="8">
        <v>1.79</v>
      </c>
      <c r="S196" s="9">
        <f t="shared" si="3"/>
        <v>288.57</v>
      </c>
      <c r="T196" s="8" t="s">
        <v>44</v>
      </c>
      <c r="U196" s="8" t="s">
        <v>44</v>
      </c>
      <c r="V196" s="8" t="s">
        <v>48</v>
      </c>
      <c r="W196" s="8" t="s">
        <v>44</v>
      </c>
      <c r="X196" s="8">
        <v>10</v>
      </c>
      <c r="Y196" s="8">
        <v>35</v>
      </c>
      <c r="Z196" s="8">
        <v>5</v>
      </c>
      <c r="AA196" s="8">
        <v>500</v>
      </c>
      <c r="AB196" s="8" t="s">
        <v>49</v>
      </c>
      <c r="AC196" s="8" t="s">
        <v>50</v>
      </c>
      <c r="AD196" s="8">
        <v>1</v>
      </c>
      <c r="AE196" s="8">
        <v>0.10199999999999999</v>
      </c>
      <c r="AF196" s="8">
        <v>0.35799999999999998</v>
      </c>
      <c r="AG196" s="8">
        <v>-365</v>
      </c>
      <c r="AH196" s="8">
        <v>-2</v>
      </c>
      <c r="AI196" s="8">
        <v>0.23</v>
      </c>
      <c r="AJ196" s="8">
        <v>0.379</v>
      </c>
      <c r="AK196" s="8">
        <v>-1080</v>
      </c>
      <c r="AL196" s="8">
        <v>480</v>
      </c>
      <c r="AM196" s="8" t="s">
        <v>44</v>
      </c>
      <c r="AN196" s="8">
        <v>4.5</v>
      </c>
      <c r="AO196" s="8" t="s">
        <v>121</v>
      </c>
      <c r="AP196" s="8">
        <v>3</v>
      </c>
      <c r="AQ196" s="8">
        <v>240</v>
      </c>
    </row>
    <row r="197" spans="1:43" x14ac:dyDescent="0.2">
      <c r="A197" s="8" t="s">
        <v>42</v>
      </c>
      <c r="B197" s="8" t="s">
        <v>43</v>
      </c>
      <c r="C197" s="8">
        <v>86.14</v>
      </c>
      <c r="D197" s="8" t="s">
        <v>71</v>
      </c>
      <c r="E197" s="8" t="s">
        <v>72</v>
      </c>
      <c r="F197" s="8">
        <v>101.19</v>
      </c>
      <c r="G197" s="8">
        <v>5</v>
      </c>
      <c r="H197" s="8">
        <v>2</v>
      </c>
      <c r="I197" s="8" t="s">
        <v>45</v>
      </c>
      <c r="J197" s="8" t="s">
        <v>46</v>
      </c>
      <c r="K197" s="8">
        <v>265.5</v>
      </c>
      <c r="L197" s="8">
        <v>0.45600000000000002</v>
      </c>
      <c r="M197" s="8" t="s">
        <v>47</v>
      </c>
      <c r="N197" s="8" t="s">
        <v>44</v>
      </c>
      <c r="O197" s="8" t="s">
        <v>44</v>
      </c>
      <c r="P197" s="8" t="s">
        <v>44</v>
      </c>
      <c r="Q197" s="8" t="s">
        <v>44</v>
      </c>
      <c r="R197" s="8">
        <v>2.456</v>
      </c>
      <c r="S197" s="9">
        <f t="shared" si="3"/>
        <v>13.18</v>
      </c>
      <c r="T197" s="8" t="s">
        <v>44</v>
      </c>
      <c r="U197" s="8" t="s">
        <v>129</v>
      </c>
      <c r="V197" s="8" t="s">
        <v>130</v>
      </c>
      <c r="W197" s="8">
        <v>0.153</v>
      </c>
      <c r="X197" s="8">
        <v>2</v>
      </c>
      <c r="Y197" s="8">
        <v>70</v>
      </c>
      <c r="Z197" s="8">
        <v>10</v>
      </c>
      <c r="AA197" s="8">
        <v>1000</v>
      </c>
      <c r="AB197" s="8" t="s">
        <v>49</v>
      </c>
      <c r="AC197" s="8" t="s">
        <v>52</v>
      </c>
      <c r="AD197" s="8">
        <v>1</v>
      </c>
      <c r="AE197" s="8">
        <v>0.10199999999999999</v>
      </c>
      <c r="AF197" s="8">
        <v>0.35799999999999998</v>
      </c>
      <c r="AG197" s="8">
        <v>-365</v>
      </c>
      <c r="AH197" s="8">
        <v>-1</v>
      </c>
      <c r="AI197" s="8">
        <v>0.18099999999999999</v>
      </c>
      <c r="AJ197" s="8">
        <v>0.33200000000000002</v>
      </c>
      <c r="AK197" s="8">
        <v>-340</v>
      </c>
      <c r="AL197" s="8">
        <v>120</v>
      </c>
      <c r="AM197" s="8" t="s">
        <v>44</v>
      </c>
      <c r="AN197" s="8">
        <v>4.5</v>
      </c>
      <c r="AO197" s="8" t="s">
        <v>107</v>
      </c>
      <c r="AP197" s="8">
        <v>1</v>
      </c>
      <c r="AQ197" s="8">
        <v>241</v>
      </c>
    </row>
    <row r="198" spans="1:43" x14ac:dyDescent="0.2">
      <c r="A198" s="2" t="s">
        <v>59</v>
      </c>
      <c r="B198" s="2" t="s">
        <v>60</v>
      </c>
      <c r="C198" s="2">
        <v>43.1</v>
      </c>
      <c r="D198" s="2" t="s">
        <v>44</v>
      </c>
      <c r="E198" s="2"/>
      <c r="F198" s="2"/>
      <c r="G198" s="2" t="s">
        <v>44</v>
      </c>
      <c r="H198" s="2">
        <v>1.5</v>
      </c>
      <c r="I198" s="2" t="s">
        <v>45</v>
      </c>
      <c r="J198" s="2" t="s">
        <v>46</v>
      </c>
      <c r="K198" s="2">
        <v>265.5</v>
      </c>
      <c r="L198" s="2">
        <v>0.4</v>
      </c>
      <c r="M198" s="2" t="s">
        <v>47</v>
      </c>
      <c r="N198" s="2" t="s">
        <v>61</v>
      </c>
      <c r="O198" s="2">
        <v>0.1</v>
      </c>
      <c r="P198" s="2" t="s">
        <v>44</v>
      </c>
      <c r="Q198" s="2" t="s">
        <v>44</v>
      </c>
      <c r="R198" s="2">
        <v>1.9</v>
      </c>
      <c r="S198" s="3">
        <f t="shared" si="3"/>
        <v>23.1</v>
      </c>
      <c r="T198" s="2">
        <v>9.5</v>
      </c>
      <c r="U198" s="2" t="s">
        <v>44</v>
      </c>
      <c r="V198" s="2" t="s">
        <v>48</v>
      </c>
      <c r="W198" s="2" t="s">
        <v>44</v>
      </c>
      <c r="X198" s="2">
        <v>20</v>
      </c>
      <c r="Y198" s="2">
        <v>95</v>
      </c>
      <c r="Z198" s="2">
        <v>8</v>
      </c>
      <c r="AA198" s="2">
        <v>500</v>
      </c>
      <c r="AB198" s="2" t="s">
        <v>49</v>
      </c>
      <c r="AC198" s="2" t="s">
        <v>52</v>
      </c>
      <c r="AD198" s="2">
        <v>1</v>
      </c>
      <c r="AE198" s="2">
        <v>0.10199999999999999</v>
      </c>
      <c r="AF198" s="2">
        <v>0.35799999999999998</v>
      </c>
      <c r="AG198" s="2">
        <v>-365</v>
      </c>
      <c r="AH198" s="2">
        <v>-1</v>
      </c>
      <c r="AI198" s="2">
        <v>0.18099999999999999</v>
      </c>
      <c r="AJ198" s="2">
        <v>0.33200000000000002</v>
      </c>
      <c r="AK198" s="2">
        <v>-340</v>
      </c>
      <c r="AL198" s="2">
        <v>1800</v>
      </c>
      <c r="AM198" s="2" t="s">
        <v>44</v>
      </c>
      <c r="AN198" s="2">
        <v>4.5999999999999996</v>
      </c>
      <c r="AO198" s="2" t="s">
        <v>62</v>
      </c>
      <c r="AP198" s="2">
        <v>1</v>
      </c>
      <c r="AQ198" s="2">
        <v>177</v>
      </c>
    </row>
    <row r="199" spans="1:43" x14ac:dyDescent="0.2">
      <c r="A199" s="2" t="s">
        <v>42</v>
      </c>
      <c r="B199" s="2" t="s">
        <v>43</v>
      </c>
      <c r="C199" s="2">
        <v>86.14</v>
      </c>
      <c r="D199" s="2" t="s">
        <v>135</v>
      </c>
      <c r="E199" s="2" t="s">
        <v>136</v>
      </c>
      <c r="F199" s="2">
        <v>152.15</v>
      </c>
      <c r="G199" s="2">
        <v>39</v>
      </c>
      <c r="H199" s="2">
        <v>1.95</v>
      </c>
      <c r="I199" s="2" t="s">
        <v>45</v>
      </c>
      <c r="J199" s="2" t="s">
        <v>46</v>
      </c>
      <c r="K199" s="2">
        <v>265.5</v>
      </c>
      <c r="L199" s="2">
        <v>7.6300000000000007E-2</v>
      </c>
      <c r="M199" s="2" t="s">
        <v>47</v>
      </c>
      <c r="N199" s="2" t="s">
        <v>44</v>
      </c>
      <c r="O199" s="2" t="s">
        <v>44</v>
      </c>
      <c r="P199" s="2" t="s">
        <v>44</v>
      </c>
      <c r="Q199" s="2" t="s">
        <v>44</v>
      </c>
      <c r="R199" s="2">
        <v>2.0263</v>
      </c>
      <c r="S199" s="3">
        <f t="shared" si="3"/>
        <v>77.92</v>
      </c>
      <c r="T199" s="2" t="s">
        <v>44</v>
      </c>
      <c r="U199" s="2" t="s">
        <v>44</v>
      </c>
      <c r="V199" s="2" t="s">
        <v>48</v>
      </c>
      <c r="W199" s="2" t="s">
        <v>44</v>
      </c>
      <c r="X199" s="2" t="s">
        <v>44</v>
      </c>
      <c r="Y199" s="2" t="s">
        <v>44</v>
      </c>
      <c r="Z199" s="2">
        <v>4.5</v>
      </c>
      <c r="AA199" s="2">
        <v>100</v>
      </c>
      <c r="AB199" s="2" t="s">
        <v>127</v>
      </c>
      <c r="AC199" s="2" t="s">
        <v>50</v>
      </c>
      <c r="AD199" s="2">
        <v>2</v>
      </c>
      <c r="AE199" s="2">
        <v>7.2999999999999995E-2</v>
      </c>
      <c r="AF199" s="2">
        <v>0.41899999999999998</v>
      </c>
      <c r="AG199" s="2">
        <v>-2010</v>
      </c>
      <c r="AH199" s="2">
        <v>-2</v>
      </c>
      <c r="AI199" s="2">
        <v>0.23</v>
      </c>
      <c r="AJ199" s="2">
        <v>0.379</v>
      </c>
      <c r="AK199" s="2">
        <v>-1080</v>
      </c>
      <c r="AL199" s="2">
        <v>5</v>
      </c>
      <c r="AM199" s="2" t="s">
        <v>44</v>
      </c>
      <c r="AN199" s="2">
        <v>4.5999999999999996</v>
      </c>
      <c r="AO199" s="2" t="s">
        <v>137</v>
      </c>
      <c r="AP199" s="2">
        <v>1</v>
      </c>
      <c r="AQ199" s="2">
        <v>231</v>
      </c>
    </row>
    <row r="200" spans="1:43" x14ac:dyDescent="0.2">
      <c r="A200" s="2" t="s">
        <v>42</v>
      </c>
      <c r="B200" s="2" t="s">
        <v>43</v>
      </c>
      <c r="C200" s="2">
        <v>86.14</v>
      </c>
      <c r="D200" s="2" t="s">
        <v>44</v>
      </c>
      <c r="E200" s="2"/>
      <c r="F200" s="2"/>
      <c r="G200" s="2" t="s">
        <v>44</v>
      </c>
      <c r="H200" s="2">
        <v>0.15</v>
      </c>
      <c r="I200" s="2" t="s">
        <v>45</v>
      </c>
      <c r="J200" s="2" t="s">
        <v>46</v>
      </c>
      <c r="K200" s="2">
        <v>265.5</v>
      </c>
      <c r="L200" s="2">
        <v>0.2</v>
      </c>
      <c r="M200" s="2" t="s">
        <v>47</v>
      </c>
      <c r="N200" s="2" t="s">
        <v>44</v>
      </c>
      <c r="O200" s="2" t="s">
        <v>44</v>
      </c>
      <c r="P200" s="2" t="s">
        <v>44</v>
      </c>
      <c r="Q200" s="2" t="s">
        <v>44</v>
      </c>
      <c r="R200" s="2">
        <v>0.35</v>
      </c>
      <c r="S200" s="3">
        <f t="shared" si="3"/>
        <v>2.31</v>
      </c>
      <c r="T200" s="2" t="s">
        <v>44</v>
      </c>
      <c r="U200" s="2" t="s">
        <v>44</v>
      </c>
      <c r="V200" s="2" t="s">
        <v>48</v>
      </c>
      <c r="W200" s="2" t="s">
        <v>44</v>
      </c>
      <c r="X200" s="2">
        <v>20</v>
      </c>
      <c r="Y200" s="2">
        <v>50</v>
      </c>
      <c r="Z200" s="2">
        <v>6</v>
      </c>
      <c r="AA200" s="2">
        <v>3000</v>
      </c>
      <c r="AB200" s="2" t="s">
        <v>69</v>
      </c>
      <c r="AC200" s="2" t="s">
        <v>50</v>
      </c>
      <c r="AD200" s="2">
        <v>2</v>
      </c>
      <c r="AE200" s="2">
        <v>7.1999999999999995E-2</v>
      </c>
      <c r="AF200" s="2">
        <v>0.42799999999999999</v>
      </c>
      <c r="AG200" s="2">
        <v>-1830</v>
      </c>
      <c r="AH200" s="2">
        <v>-2</v>
      </c>
      <c r="AI200" s="2">
        <v>0.23</v>
      </c>
      <c r="AJ200" s="2">
        <v>0.379</v>
      </c>
      <c r="AK200" s="2">
        <v>-1080</v>
      </c>
      <c r="AL200" s="2">
        <v>120</v>
      </c>
      <c r="AM200" s="2" t="s">
        <v>44</v>
      </c>
      <c r="AN200" s="2">
        <v>4.5999999999999996</v>
      </c>
      <c r="AO200" s="2" t="s">
        <v>114</v>
      </c>
      <c r="AP200" s="2">
        <v>1</v>
      </c>
      <c r="AQ200" s="2">
        <v>232</v>
      </c>
    </row>
    <row r="201" spans="1:43" x14ac:dyDescent="0.2">
      <c r="A201" s="2" t="s">
        <v>42</v>
      </c>
      <c r="B201" s="2" t="s">
        <v>43</v>
      </c>
      <c r="C201" s="2">
        <v>86.14</v>
      </c>
      <c r="D201" s="2" t="s">
        <v>44</v>
      </c>
      <c r="E201" s="2"/>
      <c r="F201" s="2"/>
      <c r="G201" s="2" t="s">
        <v>44</v>
      </c>
      <c r="H201" s="2">
        <v>1.5</v>
      </c>
      <c r="I201" s="2" t="s">
        <v>45</v>
      </c>
      <c r="J201" s="2" t="s">
        <v>46</v>
      </c>
      <c r="K201" s="2">
        <v>265.5</v>
      </c>
      <c r="L201" s="2">
        <v>0.2</v>
      </c>
      <c r="M201" s="2" t="s">
        <v>47</v>
      </c>
      <c r="N201" s="2" t="s">
        <v>44</v>
      </c>
      <c r="O201" s="2" t="s">
        <v>44</v>
      </c>
      <c r="P201" s="2" t="s">
        <v>44</v>
      </c>
      <c r="Q201" s="2" t="s">
        <v>44</v>
      </c>
      <c r="R201" s="2">
        <v>1.7</v>
      </c>
      <c r="S201" s="3">
        <f t="shared" si="3"/>
        <v>23.12</v>
      </c>
      <c r="T201" s="2" t="s">
        <v>44</v>
      </c>
      <c r="U201" s="2" t="s">
        <v>44</v>
      </c>
      <c r="V201" s="2" t="s">
        <v>48</v>
      </c>
      <c r="W201" s="2" t="s">
        <v>44</v>
      </c>
      <c r="X201" s="2">
        <v>8</v>
      </c>
      <c r="Y201" s="2">
        <v>70</v>
      </c>
      <c r="Z201" s="2">
        <v>6</v>
      </c>
      <c r="AA201" s="2">
        <v>2000</v>
      </c>
      <c r="AB201" s="2" t="s">
        <v>49</v>
      </c>
      <c r="AC201" s="2" t="s">
        <v>50</v>
      </c>
      <c r="AD201" s="2">
        <v>1</v>
      </c>
      <c r="AE201" s="2">
        <v>0.10199999999999999</v>
      </c>
      <c r="AF201" s="2">
        <v>0.35799999999999998</v>
      </c>
      <c r="AG201" s="2">
        <v>-365</v>
      </c>
      <c r="AH201" s="2">
        <v>-2</v>
      </c>
      <c r="AI201" s="2">
        <v>0.23</v>
      </c>
      <c r="AJ201" s="2">
        <v>0.379</v>
      </c>
      <c r="AK201" s="2">
        <v>-1080</v>
      </c>
      <c r="AL201" s="2">
        <v>60</v>
      </c>
      <c r="AM201" s="2" t="s">
        <v>44</v>
      </c>
      <c r="AN201" s="2">
        <v>4.5999999999999996</v>
      </c>
      <c r="AO201" s="2" t="s">
        <v>100</v>
      </c>
      <c r="AP201" s="2">
        <v>1</v>
      </c>
      <c r="AQ201" s="2">
        <v>234</v>
      </c>
    </row>
    <row r="202" spans="1:43" x14ac:dyDescent="0.2">
      <c r="A202" s="2" t="s">
        <v>42</v>
      </c>
      <c r="B202" s="2" t="s">
        <v>43</v>
      </c>
      <c r="C202" s="2">
        <v>86.14</v>
      </c>
      <c r="D202" s="2" t="s">
        <v>44</v>
      </c>
      <c r="E202" s="2"/>
      <c r="F202" s="2"/>
      <c r="G202" s="2" t="s">
        <v>44</v>
      </c>
      <c r="H202" s="2">
        <v>1</v>
      </c>
      <c r="I202" s="2" t="s">
        <v>45</v>
      </c>
      <c r="J202" s="2" t="s">
        <v>46</v>
      </c>
      <c r="K202" s="2">
        <v>265.5</v>
      </c>
      <c r="L202" s="2">
        <v>0.15</v>
      </c>
      <c r="M202" s="2" t="s">
        <v>47</v>
      </c>
      <c r="N202" s="2" t="s">
        <v>44</v>
      </c>
      <c r="O202" s="2" t="s">
        <v>44</v>
      </c>
      <c r="P202" s="2" t="s">
        <v>44</v>
      </c>
      <c r="Q202" s="2" t="s">
        <v>44</v>
      </c>
      <c r="R202" s="2">
        <v>1.1499999999999999</v>
      </c>
      <c r="S202" s="3">
        <f t="shared" si="3"/>
        <v>20.55</v>
      </c>
      <c r="T202" s="2" t="s">
        <v>44</v>
      </c>
      <c r="U202" s="2" t="s">
        <v>44</v>
      </c>
      <c r="V202" s="2" t="s">
        <v>48</v>
      </c>
      <c r="W202" s="2" t="s">
        <v>44</v>
      </c>
      <c r="X202" s="2">
        <v>15</v>
      </c>
      <c r="Y202" s="2">
        <v>60</v>
      </c>
      <c r="Z202" s="2">
        <v>6</v>
      </c>
      <c r="AA202" s="2">
        <v>2000</v>
      </c>
      <c r="AB202" s="2" t="s">
        <v>49</v>
      </c>
      <c r="AC202" s="2" t="s">
        <v>52</v>
      </c>
      <c r="AD202" s="2">
        <v>1</v>
      </c>
      <c r="AE202" s="2">
        <v>0.10199999999999999</v>
      </c>
      <c r="AF202" s="2">
        <v>0.35799999999999998</v>
      </c>
      <c r="AG202" s="2">
        <v>-365</v>
      </c>
      <c r="AH202" s="2">
        <v>-1</v>
      </c>
      <c r="AI202" s="2">
        <v>0.18099999999999999</v>
      </c>
      <c r="AJ202" s="2">
        <v>0.33200000000000002</v>
      </c>
      <c r="AK202" s="2">
        <v>-340</v>
      </c>
      <c r="AL202" s="2">
        <v>60</v>
      </c>
      <c r="AM202" s="2" t="s">
        <v>44</v>
      </c>
      <c r="AN202" s="2">
        <v>4.5999999999999996</v>
      </c>
      <c r="AO202" s="2" t="s">
        <v>139</v>
      </c>
      <c r="AP202" s="2">
        <v>1</v>
      </c>
      <c r="AQ202" s="2">
        <v>235</v>
      </c>
    </row>
    <row r="203" spans="1:43" x14ac:dyDescent="0.2">
      <c r="A203" s="2" t="s">
        <v>77</v>
      </c>
      <c r="B203" s="2" t="s">
        <v>78</v>
      </c>
      <c r="C203" s="2">
        <v>114.19</v>
      </c>
      <c r="D203" s="2" t="s">
        <v>44</v>
      </c>
      <c r="E203" s="2"/>
      <c r="F203" s="2"/>
      <c r="G203" s="2" t="s">
        <v>44</v>
      </c>
      <c r="H203" s="2">
        <v>2</v>
      </c>
      <c r="I203" s="2" t="s">
        <v>45</v>
      </c>
      <c r="J203" s="2" t="s">
        <v>46</v>
      </c>
      <c r="K203" s="2">
        <v>265.5</v>
      </c>
      <c r="L203" s="2">
        <v>0.3</v>
      </c>
      <c r="M203" s="2" t="s">
        <v>47</v>
      </c>
      <c r="N203" s="2" t="s">
        <v>44</v>
      </c>
      <c r="O203" s="2" t="s">
        <v>44</v>
      </c>
      <c r="P203" s="2" t="s">
        <v>44</v>
      </c>
      <c r="Q203" s="2" t="s">
        <v>44</v>
      </c>
      <c r="R203" s="2">
        <v>2.2999999999999998</v>
      </c>
      <c r="S203" s="3">
        <f t="shared" si="3"/>
        <v>15.5</v>
      </c>
      <c r="T203" s="2" t="s">
        <v>44</v>
      </c>
      <c r="U203" s="2" t="s">
        <v>44</v>
      </c>
      <c r="V203" s="2" t="s">
        <v>48</v>
      </c>
      <c r="W203" s="2" t="s">
        <v>44</v>
      </c>
      <c r="X203" s="2">
        <v>5</v>
      </c>
      <c r="Y203" s="2">
        <v>80</v>
      </c>
      <c r="Z203" s="2">
        <v>6</v>
      </c>
      <c r="AA203" s="2">
        <v>2000</v>
      </c>
      <c r="AB203" s="2" t="s">
        <v>49</v>
      </c>
      <c r="AC203" s="2" t="s">
        <v>50</v>
      </c>
      <c r="AD203" s="2">
        <v>1</v>
      </c>
      <c r="AE203" s="2">
        <v>0.10199999999999999</v>
      </c>
      <c r="AF203" s="2">
        <v>0.35799999999999998</v>
      </c>
      <c r="AG203" s="2">
        <v>-365</v>
      </c>
      <c r="AH203" s="2">
        <v>-2</v>
      </c>
      <c r="AI203" s="2">
        <v>0.23</v>
      </c>
      <c r="AJ203" s="2">
        <v>0.379</v>
      </c>
      <c r="AK203" s="2">
        <v>-1080</v>
      </c>
      <c r="AL203" s="2">
        <v>15</v>
      </c>
      <c r="AM203" s="2" t="s">
        <v>44</v>
      </c>
      <c r="AN203" s="2">
        <v>4.5999999999999996</v>
      </c>
      <c r="AO203" s="2" t="s">
        <v>80</v>
      </c>
      <c r="AP203" s="2">
        <v>1</v>
      </c>
      <c r="AQ203" s="2">
        <v>236</v>
      </c>
    </row>
    <row r="204" spans="1:43" x14ac:dyDescent="0.2">
      <c r="A204" t="s">
        <v>59</v>
      </c>
      <c r="B204" t="s">
        <v>60</v>
      </c>
      <c r="C204">
        <v>43.1</v>
      </c>
      <c r="D204" t="s">
        <v>44</v>
      </c>
      <c r="G204" t="s">
        <v>44</v>
      </c>
      <c r="H204">
        <v>1</v>
      </c>
      <c r="I204" t="s">
        <v>45</v>
      </c>
      <c r="J204" t="s">
        <v>46</v>
      </c>
      <c r="K204">
        <v>265.5</v>
      </c>
      <c r="L204">
        <v>0.4</v>
      </c>
      <c r="M204" t="s">
        <v>47</v>
      </c>
      <c r="N204" t="s">
        <v>61</v>
      </c>
      <c r="O204">
        <v>0.1</v>
      </c>
      <c r="P204" t="s">
        <v>44</v>
      </c>
      <c r="Q204" t="s">
        <v>44</v>
      </c>
      <c r="R204">
        <v>1.4</v>
      </c>
      <c r="S204" s="5">
        <f t="shared" si="3"/>
        <v>15.4</v>
      </c>
      <c r="T204">
        <v>9.5</v>
      </c>
      <c r="U204" t="s">
        <v>44</v>
      </c>
      <c r="V204" t="s">
        <v>48</v>
      </c>
      <c r="W204" t="s">
        <v>44</v>
      </c>
      <c r="X204">
        <v>20</v>
      </c>
      <c r="Y204">
        <v>95</v>
      </c>
      <c r="Z204">
        <v>8</v>
      </c>
      <c r="AA204">
        <v>500</v>
      </c>
      <c r="AB204" t="s">
        <v>69</v>
      </c>
      <c r="AC204" t="s">
        <v>52</v>
      </c>
      <c r="AD204">
        <v>2</v>
      </c>
      <c r="AE204">
        <v>7.1999999999999995E-2</v>
      </c>
      <c r="AF204">
        <v>0.42799999999999999</v>
      </c>
      <c r="AG204">
        <v>-1830</v>
      </c>
      <c r="AH204">
        <v>-1</v>
      </c>
      <c r="AI204">
        <v>0.18099999999999999</v>
      </c>
      <c r="AJ204">
        <v>0.33200000000000002</v>
      </c>
      <c r="AK204">
        <v>-340</v>
      </c>
      <c r="AL204">
        <v>1800</v>
      </c>
      <c r="AM204" t="s">
        <v>44</v>
      </c>
      <c r="AN204">
        <v>4.7</v>
      </c>
      <c r="AO204" t="s">
        <v>62</v>
      </c>
      <c r="AP204">
        <v>1</v>
      </c>
      <c r="AQ204">
        <v>176</v>
      </c>
    </row>
    <row r="205" spans="1:43" x14ac:dyDescent="0.2">
      <c r="A205" t="s">
        <v>42</v>
      </c>
      <c r="B205" t="s">
        <v>43</v>
      </c>
      <c r="C205">
        <v>86.14</v>
      </c>
      <c r="D205" t="s">
        <v>44</v>
      </c>
      <c r="G205" t="s">
        <v>44</v>
      </c>
      <c r="H205">
        <v>1.5</v>
      </c>
      <c r="I205" t="s">
        <v>45</v>
      </c>
      <c r="J205" t="s">
        <v>46</v>
      </c>
      <c r="K205">
        <v>265.5</v>
      </c>
      <c r="L205">
        <v>0.2</v>
      </c>
      <c r="M205" t="s">
        <v>47</v>
      </c>
      <c r="N205" t="s">
        <v>44</v>
      </c>
      <c r="O205" t="s">
        <v>44</v>
      </c>
      <c r="P205" t="s">
        <v>44</v>
      </c>
      <c r="Q205" t="s">
        <v>44</v>
      </c>
      <c r="R205">
        <v>1.7</v>
      </c>
      <c r="S205" s="5">
        <f t="shared" si="3"/>
        <v>23.12</v>
      </c>
      <c r="T205" t="s">
        <v>44</v>
      </c>
      <c r="U205" t="s">
        <v>44</v>
      </c>
      <c r="V205" t="s">
        <v>48</v>
      </c>
      <c r="W205" t="s">
        <v>44</v>
      </c>
      <c r="X205">
        <v>8</v>
      </c>
      <c r="Y205">
        <v>70</v>
      </c>
      <c r="Z205">
        <v>6</v>
      </c>
      <c r="AA205">
        <v>2000</v>
      </c>
      <c r="AB205" t="s">
        <v>49</v>
      </c>
      <c r="AC205" t="s">
        <v>50</v>
      </c>
      <c r="AD205">
        <v>1</v>
      </c>
      <c r="AE205">
        <v>0.10199999999999999</v>
      </c>
      <c r="AF205">
        <v>0.35799999999999998</v>
      </c>
      <c r="AG205">
        <v>-365</v>
      </c>
      <c r="AH205">
        <v>-2</v>
      </c>
      <c r="AI205">
        <v>0.23</v>
      </c>
      <c r="AJ205">
        <v>0.379</v>
      </c>
      <c r="AK205">
        <v>-1080</v>
      </c>
      <c r="AL205">
        <v>60</v>
      </c>
      <c r="AM205" t="s">
        <v>44</v>
      </c>
      <c r="AN205">
        <v>4.7</v>
      </c>
      <c r="AO205" t="s">
        <v>100</v>
      </c>
      <c r="AP205">
        <v>1</v>
      </c>
      <c r="AQ205">
        <v>230</v>
      </c>
    </row>
    <row r="206" spans="1:43" x14ac:dyDescent="0.2">
      <c r="A206" s="10" t="s">
        <v>59</v>
      </c>
      <c r="B206" s="10" t="s">
        <v>60</v>
      </c>
      <c r="C206" s="10">
        <v>43.1</v>
      </c>
      <c r="D206" s="10" t="s">
        <v>44</v>
      </c>
      <c r="E206" s="10"/>
      <c r="F206" s="10"/>
      <c r="G206" s="10" t="s">
        <v>44</v>
      </c>
      <c r="H206" s="10">
        <v>1</v>
      </c>
      <c r="I206" s="10" t="s">
        <v>45</v>
      </c>
      <c r="J206" s="10" t="s">
        <v>46</v>
      </c>
      <c r="K206" s="10">
        <v>265.5</v>
      </c>
      <c r="L206" s="10">
        <v>0.4</v>
      </c>
      <c r="M206" s="10" t="s">
        <v>47</v>
      </c>
      <c r="N206" s="10" t="s">
        <v>61</v>
      </c>
      <c r="O206" s="10">
        <v>0.1</v>
      </c>
      <c r="P206" s="10" t="s">
        <v>44</v>
      </c>
      <c r="Q206" s="10" t="s">
        <v>44</v>
      </c>
      <c r="R206" s="10">
        <v>1.4</v>
      </c>
      <c r="S206" s="11">
        <f t="shared" si="3"/>
        <v>15.4</v>
      </c>
      <c r="T206" s="10">
        <v>9.5</v>
      </c>
      <c r="U206" s="10" t="s">
        <v>44</v>
      </c>
      <c r="V206" s="10" t="s">
        <v>48</v>
      </c>
      <c r="W206" s="10" t="s">
        <v>44</v>
      </c>
      <c r="X206" s="10">
        <v>20</v>
      </c>
      <c r="Y206" s="10">
        <v>95</v>
      </c>
      <c r="Z206" s="10">
        <v>8</v>
      </c>
      <c r="AA206" s="10">
        <v>500</v>
      </c>
      <c r="AB206" s="10" t="s">
        <v>49</v>
      </c>
      <c r="AC206" s="10" t="s">
        <v>50</v>
      </c>
      <c r="AD206" s="10">
        <v>1</v>
      </c>
      <c r="AE206" s="10">
        <v>0.10199999999999999</v>
      </c>
      <c r="AF206" s="10">
        <v>0.35799999999999998</v>
      </c>
      <c r="AG206" s="10">
        <v>-365</v>
      </c>
      <c r="AH206" s="10">
        <v>-2</v>
      </c>
      <c r="AI206" s="10">
        <v>0.23</v>
      </c>
      <c r="AJ206" s="10">
        <v>0.379</v>
      </c>
      <c r="AK206" s="10">
        <v>-1080</v>
      </c>
      <c r="AL206" s="10">
        <v>1800</v>
      </c>
      <c r="AM206" s="10" t="s">
        <v>44</v>
      </c>
      <c r="AN206" s="10">
        <v>4.8</v>
      </c>
      <c r="AO206" s="10" t="s">
        <v>62</v>
      </c>
      <c r="AP206" s="10">
        <v>1</v>
      </c>
      <c r="AQ206" s="10">
        <v>118</v>
      </c>
    </row>
    <row r="207" spans="1:43" x14ac:dyDescent="0.2">
      <c r="A207" s="10" t="s">
        <v>59</v>
      </c>
      <c r="B207" s="10" t="s">
        <v>60</v>
      </c>
      <c r="C207" s="10">
        <v>43.1</v>
      </c>
      <c r="D207" s="10" t="s">
        <v>44</v>
      </c>
      <c r="E207" s="10"/>
      <c r="F207" s="10"/>
      <c r="G207" s="10" t="s">
        <v>44</v>
      </c>
      <c r="H207" s="10">
        <v>1</v>
      </c>
      <c r="I207" s="10" t="s">
        <v>45</v>
      </c>
      <c r="J207" s="10" t="s">
        <v>46</v>
      </c>
      <c r="K207" s="10">
        <v>265.5</v>
      </c>
      <c r="L207" s="10">
        <v>0.4</v>
      </c>
      <c r="M207" s="10" t="s">
        <v>47</v>
      </c>
      <c r="N207" s="10" t="s">
        <v>61</v>
      </c>
      <c r="O207" s="10">
        <v>0.1</v>
      </c>
      <c r="P207" s="10" t="s">
        <v>44</v>
      </c>
      <c r="Q207" s="10" t="s">
        <v>44</v>
      </c>
      <c r="R207" s="10">
        <v>1.4</v>
      </c>
      <c r="S207" s="11">
        <f t="shared" si="3"/>
        <v>15.4</v>
      </c>
      <c r="T207" s="10">
        <v>9.5</v>
      </c>
      <c r="U207" s="10" t="s">
        <v>44</v>
      </c>
      <c r="V207" s="10" t="s">
        <v>48</v>
      </c>
      <c r="W207" s="10" t="s">
        <v>44</v>
      </c>
      <c r="X207" s="10">
        <v>20</v>
      </c>
      <c r="Y207" s="10">
        <v>95</v>
      </c>
      <c r="Z207" s="10">
        <v>8</v>
      </c>
      <c r="AA207" s="10">
        <v>500</v>
      </c>
      <c r="AB207" s="10" t="s">
        <v>49</v>
      </c>
      <c r="AC207" s="10" t="s">
        <v>52</v>
      </c>
      <c r="AD207" s="10">
        <v>1</v>
      </c>
      <c r="AE207" s="10">
        <v>0.10199999999999999</v>
      </c>
      <c r="AF207" s="10">
        <v>0.35799999999999998</v>
      </c>
      <c r="AG207" s="10">
        <v>-365</v>
      </c>
      <c r="AH207" s="10">
        <v>-1</v>
      </c>
      <c r="AI207" s="10">
        <v>0.18099999999999999</v>
      </c>
      <c r="AJ207" s="10">
        <v>0.33200000000000002</v>
      </c>
      <c r="AK207" s="10">
        <v>-340</v>
      </c>
      <c r="AL207" s="10">
        <v>1800</v>
      </c>
      <c r="AM207" s="10" t="s">
        <v>44</v>
      </c>
      <c r="AN207" s="10">
        <v>4.8</v>
      </c>
      <c r="AO207" s="10" t="s">
        <v>62</v>
      </c>
      <c r="AP207" s="10">
        <v>1</v>
      </c>
      <c r="AQ207" s="10">
        <v>121</v>
      </c>
    </row>
    <row r="208" spans="1:43" x14ac:dyDescent="0.2">
      <c r="A208" s="10" t="s">
        <v>42</v>
      </c>
      <c r="B208" s="10" t="s">
        <v>43</v>
      </c>
      <c r="C208" s="10">
        <v>86.14</v>
      </c>
      <c r="D208" s="10" t="s">
        <v>135</v>
      </c>
      <c r="E208" s="10" t="s">
        <v>136</v>
      </c>
      <c r="F208" s="10">
        <v>152.15</v>
      </c>
      <c r="G208" s="10">
        <v>39</v>
      </c>
      <c r="H208" s="10">
        <v>1.95</v>
      </c>
      <c r="I208" s="10" t="s">
        <v>45</v>
      </c>
      <c r="J208" s="10" t="s">
        <v>46</v>
      </c>
      <c r="K208" s="10">
        <v>265.5</v>
      </c>
      <c r="L208" s="10">
        <v>1.5269999999999999</v>
      </c>
      <c r="M208" s="10" t="s">
        <v>47</v>
      </c>
      <c r="N208" s="10" t="s">
        <v>44</v>
      </c>
      <c r="O208" s="10" t="s">
        <v>44</v>
      </c>
      <c r="P208" s="10" t="s">
        <v>44</v>
      </c>
      <c r="Q208" s="10" t="s">
        <v>44</v>
      </c>
      <c r="R208" s="10">
        <v>3.4769999999999999</v>
      </c>
      <c r="S208" s="11">
        <f t="shared" si="3"/>
        <v>3.89</v>
      </c>
      <c r="T208" s="10" t="s">
        <v>44</v>
      </c>
      <c r="U208" s="10" t="s">
        <v>44</v>
      </c>
      <c r="V208" s="10" t="s">
        <v>48</v>
      </c>
      <c r="W208" s="10" t="s">
        <v>44</v>
      </c>
      <c r="X208" s="10" t="s">
        <v>44</v>
      </c>
      <c r="Y208" s="10" t="s">
        <v>44</v>
      </c>
      <c r="Z208" s="10">
        <v>4.5</v>
      </c>
      <c r="AA208" s="10">
        <v>100</v>
      </c>
      <c r="AB208" s="10" t="s">
        <v>127</v>
      </c>
      <c r="AC208" s="10" t="s">
        <v>50</v>
      </c>
      <c r="AD208" s="10">
        <v>2</v>
      </c>
      <c r="AE208" s="10">
        <v>7.2999999999999995E-2</v>
      </c>
      <c r="AF208" s="10">
        <v>0.41899999999999998</v>
      </c>
      <c r="AG208" s="10">
        <v>-2010</v>
      </c>
      <c r="AH208" s="10">
        <v>-2</v>
      </c>
      <c r="AI208" s="10">
        <v>0.23</v>
      </c>
      <c r="AJ208" s="10">
        <v>0.379</v>
      </c>
      <c r="AK208" s="10">
        <v>-1080</v>
      </c>
      <c r="AL208" s="10">
        <v>5</v>
      </c>
      <c r="AM208" s="10" t="s">
        <v>44</v>
      </c>
      <c r="AN208" s="10">
        <v>4.8</v>
      </c>
      <c r="AO208" s="10" t="s">
        <v>137</v>
      </c>
      <c r="AP208" s="10">
        <v>1</v>
      </c>
      <c r="AQ208" s="10">
        <v>221</v>
      </c>
    </row>
    <row r="209" spans="1:43" x14ac:dyDescent="0.2">
      <c r="A209" s="10" t="s">
        <v>42</v>
      </c>
      <c r="B209" s="10" t="s">
        <v>43</v>
      </c>
      <c r="C209" s="10">
        <v>86.14</v>
      </c>
      <c r="D209" s="10" t="s">
        <v>44</v>
      </c>
      <c r="E209" s="10"/>
      <c r="F209" s="10"/>
      <c r="G209" s="10" t="s">
        <v>44</v>
      </c>
      <c r="H209" s="10">
        <v>0.2</v>
      </c>
      <c r="I209" s="10" t="s">
        <v>45</v>
      </c>
      <c r="J209" s="10" t="s">
        <v>46</v>
      </c>
      <c r="K209" s="10">
        <v>265.5</v>
      </c>
      <c r="L209" s="10">
        <v>0.2</v>
      </c>
      <c r="M209" s="10" t="s">
        <v>47</v>
      </c>
      <c r="N209" s="10" t="s">
        <v>44</v>
      </c>
      <c r="O209" s="10" t="s">
        <v>44</v>
      </c>
      <c r="P209" s="10" t="s">
        <v>44</v>
      </c>
      <c r="Q209" s="10" t="s">
        <v>44</v>
      </c>
      <c r="R209" s="10">
        <v>0.4</v>
      </c>
      <c r="S209" s="11">
        <f t="shared" si="3"/>
        <v>3.08</v>
      </c>
      <c r="T209" s="10" t="s">
        <v>44</v>
      </c>
      <c r="U209" s="10" t="s">
        <v>44</v>
      </c>
      <c r="V209" s="10" t="s">
        <v>48</v>
      </c>
      <c r="W209" s="10" t="s">
        <v>44</v>
      </c>
      <c r="X209" s="10">
        <v>20</v>
      </c>
      <c r="Y209" s="10">
        <v>50</v>
      </c>
      <c r="Z209" s="10">
        <v>6</v>
      </c>
      <c r="AA209" s="10">
        <v>3000</v>
      </c>
      <c r="AB209" s="10" t="s">
        <v>49</v>
      </c>
      <c r="AC209" s="10" t="s">
        <v>52</v>
      </c>
      <c r="AD209" s="10">
        <v>1</v>
      </c>
      <c r="AE209" s="10">
        <v>0.10199999999999999</v>
      </c>
      <c r="AF209" s="10">
        <v>0.35799999999999998</v>
      </c>
      <c r="AG209" s="10">
        <v>-365</v>
      </c>
      <c r="AH209" s="10">
        <v>-1</v>
      </c>
      <c r="AI209" s="10">
        <v>0.18099999999999999</v>
      </c>
      <c r="AJ209" s="10">
        <v>0.33200000000000002</v>
      </c>
      <c r="AK209" s="10">
        <v>-340</v>
      </c>
      <c r="AL209" s="10">
        <v>120</v>
      </c>
      <c r="AM209" s="10" t="s">
        <v>44</v>
      </c>
      <c r="AN209" s="10">
        <v>4.8</v>
      </c>
      <c r="AO209" s="10" t="s">
        <v>114</v>
      </c>
      <c r="AP209" s="10">
        <v>1</v>
      </c>
      <c r="AQ209" s="10">
        <v>222</v>
      </c>
    </row>
    <row r="210" spans="1:43" x14ac:dyDescent="0.2">
      <c r="A210" s="10" t="s">
        <v>42</v>
      </c>
      <c r="B210" s="10" t="s">
        <v>43</v>
      </c>
      <c r="C210" s="10">
        <v>86.14</v>
      </c>
      <c r="D210" s="10" t="s">
        <v>44</v>
      </c>
      <c r="E210" s="10"/>
      <c r="F210" s="10"/>
      <c r="G210" s="10" t="s">
        <v>44</v>
      </c>
      <c r="H210" s="10">
        <v>2</v>
      </c>
      <c r="I210" s="10" t="s">
        <v>45</v>
      </c>
      <c r="J210" s="10" t="s">
        <v>46</v>
      </c>
      <c r="K210" s="10">
        <v>265.5</v>
      </c>
      <c r="L210" s="10">
        <v>0.05</v>
      </c>
      <c r="M210" s="10" t="s">
        <v>94</v>
      </c>
      <c r="N210" s="10" t="s">
        <v>44</v>
      </c>
      <c r="O210" s="10" t="s">
        <v>44</v>
      </c>
      <c r="P210" s="10" t="s">
        <v>44</v>
      </c>
      <c r="Q210" s="10" t="s">
        <v>44</v>
      </c>
      <c r="R210" s="10">
        <v>2.0499999999999998</v>
      </c>
      <c r="S210" s="11">
        <f t="shared" si="3"/>
        <v>123.29</v>
      </c>
      <c r="T210" s="10" t="s">
        <v>44</v>
      </c>
      <c r="U210" s="10" t="s">
        <v>44</v>
      </c>
      <c r="V210" s="10" t="s">
        <v>48</v>
      </c>
      <c r="W210" s="10" t="s">
        <v>44</v>
      </c>
      <c r="X210" s="10">
        <v>15</v>
      </c>
      <c r="Y210" s="10">
        <v>50</v>
      </c>
      <c r="Z210" s="10">
        <v>7</v>
      </c>
      <c r="AA210" s="10">
        <v>1000</v>
      </c>
      <c r="AB210" s="10" t="s">
        <v>49</v>
      </c>
      <c r="AC210" s="10" t="s">
        <v>52</v>
      </c>
      <c r="AD210" s="10">
        <v>1</v>
      </c>
      <c r="AE210" s="10">
        <v>0.10199999999999999</v>
      </c>
      <c r="AF210" s="10">
        <v>0.35799999999999998</v>
      </c>
      <c r="AG210" s="10">
        <v>-365</v>
      </c>
      <c r="AH210" s="10">
        <v>-1</v>
      </c>
      <c r="AI210" s="10">
        <v>0.18099999999999999</v>
      </c>
      <c r="AJ210" s="10">
        <v>0.33200000000000002</v>
      </c>
      <c r="AK210" s="10">
        <v>-340</v>
      </c>
      <c r="AL210" s="10">
        <v>30</v>
      </c>
      <c r="AM210" s="10" t="s">
        <v>44</v>
      </c>
      <c r="AN210" s="10">
        <v>4.8</v>
      </c>
      <c r="AO210" s="10" t="s">
        <v>138</v>
      </c>
      <c r="AP210" s="10">
        <v>1</v>
      </c>
      <c r="AQ210" s="10">
        <v>226</v>
      </c>
    </row>
    <row r="211" spans="1:43" x14ac:dyDescent="0.2">
      <c r="A211" s="10" t="s">
        <v>77</v>
      </c>
      <c r="B211" s="10" t="s">
        <v>78</v>
      </c>
      <c r="C211" s="10">
        <v>114.19</v>
      </c>
      <c r="D211" s="10" t="s">
        <v>44</v>
      </c>
      <c r="E211" s="10"/>
      <c r="F211" s="10"/>
      <c r="G211" s="10" t="s">
        <v>44</v>
      </c>
      <c r="H211" s="10">
        <v>2</v>
      </c>
      <c r="I211" s="10" t="s">
        <v>45</v>
      </c>
      <c r="J211" s="10" t="s">
        <v>46</v>
      </c>
      <c r="K211" s="10">
        <v>265.5</v>
      </c>
      <c r="L211" s="10">
        <v>0.25</v>
      </c>
      <c r="M211" s="10" t="s">
        <v>47</v>
      </c>
      <c r="N211" s="10" t="s">
        <v>44</v>
      </c>
      <c r="O211" s="10" t="s">
        <v>44</v>
      </c>
      <c r="P211" s="10" t="s">
        <v>44</v>
      </c>
      <c r="Q211" s="10" t="s">
        <v>44</v>
      </c>
      <c r="R211" s="10">
        <v>2.25</v>
      </c>
      <c r="S211" s="11">
        <f t="shared" si="3"/>
        <v>18.600000000000001</v>
      </c>
      <c r="T211" s="10" t="s">
        <v>44</v>
      </c>
      <c r="U211" s="10" t="s">
        <v>44</v>
      </c>
      <c r="V211" s="10" t="s">
        <v>48</v>
      </c>
      <c r="W211" s="10" t="s">
        <v>44</v>
      </c>
      <c r="X211" s="10">
        <v>5</v>
      </c>
      <c r="Y211" s="10">
        <v>100</v>
      </c>
      <c r="Z211" s="10">
        <v>6</v>
      </c>
      <c r="AA211" s="10">
        <v>2000</v>
      </c>
      <c r="AB211" s="10" t="s">
        <v>49</v>
      </c>
      <c r="AC211" s="10" t="s">
        <v>50</v>
      </c>
      <c r="AD211" s="10">
        <v>1</v>
      </c>
      <c r="AE211" s="10">
        <v>0.10199999999999999</v>
      </c>
      <c r="AF211" s="10">
        <v>0.35799999999999998</v>
      </c>
      <c r="AG211" s="10">
        <v>-365</v>
      </c>
      <c r="AH211" s="10">
        <v>-2</v>
      </c>
      <c r="AI211" s="10">
        <v>0.23</v>
      </c>
      <c r="AJ211" s="10">
        <v>0.379</v>
      </c>
      <c r="AK211" s="10">
        <v>-1080</v>
      </c>
      <c r="AL211" s="10">
        <v>15</v>
      </c>
      <c r="AM211" s="10" t="s">
        <v>44</v>
      </c>
      <c r="AN211" s="10">
        <v>4.8</v>
      </c>
      <c r="AO211" s="10" t="s">
        <v>80</v>
      </c>
      <c r="AP211" s="10">
        <v>1</v>
      </c>
      <c r="AQ211" s="10">
        <v>227</v>
      </c>
    </row>
    <row r="212" spans="1:43" x14ac:dyDescent="0.2">
      <c r="A212" s="10" t="s">
        <v>77</v>
      </c>
      <c r="B212" s="10" t="s">
        <v>78</v>
      </c>
      <c r="C212" s="10">
        <v>114.19</v>
      </c>
      <c r="D212" s="10" t="s">
        <v>44</v>
      </c>
      <c r="E212" s="10"/>
      <c r="F212" s="10"/>
      <c r="G212" s="10" t="s">
        <v>44</v>
      </c>
      <c r="H212" s="10">
        <v>2.5</v>
      </c>
      <c r="I212" s="10" t="s">
        <v>45</v>
      </c>
      <c r="J212" s="10" t="s">
        <v>46</v>
      </c>
      <c r="K212" s="10">
        <v>265.5</v>
      </c>
      <c r="L212" s="10">
        <v>0.15</v>
      </c>
      <c r="M212" s="10" t="s">
        <v>47</v>
      </c>
      <c r="N212" s="10" t="s">
        <v>44</v>
      </c>
      <c r="O212" s="10" t="s">
        <v>44</v>
      </c>
      <c r="P212" s="10" t="s">
        <v>44</v>
      </c>
      <c r="Q212" s="10" t="s">
        <v>44</v>
      </c>
      <c r="R212" s="10">
        <v>2.65</v>
      </c>
      <c r="S212" s="11">
        <f t="shared" si="3"/>
        <v>38.75</v>
      </c>
      <c r="T212" s="10" t="s">
        <v>44</v>
      </c>
      <c r="U212" s="10" t="s">
        <v>44</v>
      </c>
      <c r="V212" s="10" t="s">
        <v>48</v>
      </c>
      <c r="W212" s="10" t="s">
        <v>44</v>
      </c>
      <c r="X212" s="10">
        <v>5</v>
      </c>
      <c r="Y212" s="10">
        <v>80</v>
      </c>
      <c r="Z212" s="10">
        <v>6</v>
      </c>
      <c r="AA212" s="10">
        <v>2000</v>
      </c>
      <c r="AB212" s="10" t="s">
        <v>49</v>
      </c>
      <c r="AC212" s="10" t="s">
        <v>50</v>
      </c>
      <c r="AD212" s="10">
        <v>1</v>
      </c>
      <c r="AE212" s="10">
        <v>0.10199999999999999</v>
      </c>
      <c r="AF212" s="10">
        <v>0.35799999999999998</v>
      </c>
      <c r="AG212" s="10">
        <v>-365</v>
      </c>
      <c r="AH212" s="10">
        <v>-2</v>
      </c>
      <c r="AI212" s="10">
        <v>0.23</v>
      </c>
      <c r="AJ212" s="10">
        <v>0.379</v>
      </c>
      <c r="AK212" s="10">
        <v>-1080</v>
      </c>
      <c r="AL212" s="10">
        <v>15</v>
      </c>
      <c r="AM212" s="10" t="s">
        <v>44</v>
      </c>
      <c r="AN212" s="10">
        <v>4.8</v>
      </c>
      <c r="AO212" s="10" t="s">
        <v>80</v>
      </c>
      <c r="AP212" s="10">
        <v>1</v>
      </c>
      <c r="AQ212" s="10">
        <v>228</v>
      </c>
    </row>
    <row r="213" spans="1:43" x14ac:dyDescent="0.2">
      <c r="A213" s="10" t="s">
        <v>59</v>
      </c>
      <c r="B213" s="10" t="s">
        <v>60</v>
      </c>
      <c r="C213" s="10">
        <v>43.1</v>
      </c>
      <c r="D213" s="10" t="s">
        <v>42</v>
      </c>
      <c r="E213" s="10" t="s">
        <v>43</v>
      </c>
      <c r="F213" s="10">
        <v>86.14</v>
      </c>
      <c r="G213" s="10">
        <v>3.9999999999999991</v>
      </c>
      <c r="H213" s="10">
        <v>3</v>
      </c>
      <c r="I213" s="10" t="s">
        <v>45</v>
      </c>
      <c r="J213" s="10" t="s">
        <v>46</v>
      </c>
      <c r="K213" s="10">
        <v>265.5</v>
      </c>
      <c r="L213" s="10">
        <v>0.6</v>
      </c>
      <c r="M213" s="10" t="s">
        <v>47</v>
      </c>
      <c r="N213" s="10" t="s">
        <v>44</v>
      </c>
      <c r="O213" s="10" t="s">
        <v>44</v>
      </c>
      <c r="P213" s="10" t="s">
        <v>44</v>
      </c>
      <c r="Q213" s="10" t="s">
        <v>44</v>
      </c>
      <c r="R213" s="10">
        <v>3.6</v>
      </c>
      <c r="S213" s="11">
        <f t="shared" si="3"/>
        <v>27.72</v>
      </c>
      <c r="T213" s="10">
        <v>9.5</v>
      </c>
      <c r="U213" s="10" t="s">
        <v>44</v>
      </c>
      <c r="V213" s="10" t="s">
        <v>48</v>
      </c>
      <c r="W213" s="10" t="s">
        <v>44</v>
      </c>
      <c r="X213" s="10">
        <v>20</v>
      </c>
      <c r="Y213" s="10">
        <v>75</v>
      </c>
      <c r="Z213" s="10">
        <v>8</v>
      </c>
      <c r="AA213" s="10">
        <v>500</v>
      </c>
      <c r="AB213" s="10" t="s">
        <v>69</v>
      </c>
      <c r="AC213" s="10" t="s">
        <v>52</v>
      </c>
      <c r="AD213" s="10">
        <v>2</v>
      </c>
      <c r="AE213" s="10">
        <v>7.1999999999999995E-2</v>
      </c>
      <c r="AF213" s="10">
        <v>0.42799999999999999</v>
      </c>
      <c r="AG213" s="10">
        <v>-1830</v>
      </c>
      <c r="AH213" s="10">
        <v>-1</v>
      </c>
      <c r="AI213" s="10">
        <v>0.18099999999999999</v>
      </c>
      <c r="AJ213" s="10">
        <v>0.33200000000000002</v>
      </c>
      <c r="AK213" s="10">
        <v>-340</v>
      </c>
      <c r="AL213" s="10">
        <v>1800</v>
      </c>
      <c r="AM213" s="10" t="s">
        <v>44</v>
      </c>
      <c r="AN213" s="10">
        <v>4.8</v>
      </c>
      <c r="AO213" s="10" t="s">
        <v>143</v>
      </c>
      <c r="AP213" s="10">
        <v>1</v>
      </c>
      <c r="AQ213" s="10">
        <v>336</v>
      </c>
    </row>
    <row r="214" spans="1:43" x14ac:dyDescent="0.2">
      <c r="A214" t="s">
        <v>59</v>
      </c>
      <c r="B214" t="s">
        <v>60</v>
      </c>
      <c r="C214">
        <v>43.1</v>
      </c>
      <c r="D214" t="s">
        <v>44</v>
      </c>
      <c r="G214" t="s">
        <v>44</v>
      </c>
      <c r="H214">
        <v>1</v>
      </c>
      <c r="I214" t="s">
        <v>45</v>
      </c>
      <c r="J214" t="s">
        <v>46</v>
      </c>
      <c r="K214">
        <v>265.5</v>
      </c>
      <c r="L214">
        <v>0.4</v>
      </c>
      <c r="M214" t="s">
        <v>47</v>
      </c>
      <c r="N214" t="s">
        <v>61</v>
      </c>
      <c r="O214">
        <v>0.1</v>
      </c>
      <c r="P214" t="s">
        <v>44</v>
      </c>
      <c r="Q214" t="s">
        <v>44</v>
      </c>
      <c r="R214">
        <v>1.4</v>
      </c>
      <c r="S214" s="5">
        <f t="shared" si="3"/>
        <v>15.4</v>
      </c>
      <c r="T214">
        <v>9.5</v>
      </c>
      <c r="U214" t="s">
        <v>44</v>
      </c>
      <c r="V214" t="s">
        <v>48</v>
      </c>
      <c r="W214" t="s">
        <v>44</v>
      </c>
      <c r="X214">
        <v>20</v>
      </c>
      <c r="Y214">
        <v>95</v>
      </c>
      <c r="Z214">
        <v>8</v>
      </c>
      <c r="AA214">
        <v>500</v>
      </c>
      <c r="AB214" t="s">
        <v>69</v>
      </c>
      <c r="AC214" t="s">
        <v>50</v>
      </c>
      <c r="AD214">
        <v>2</v>
      </c>
      <c r="AE214">
        <v>7.1999999999999995E-2</v>
      </c>
      <c r="AF214">
        <v>0.42799999999999999</v>
      </c>
      <c r="AG214">
        <v>-1830</v>
      </c>
      <c r="AH214">
        <v>-2</v>
      </c>
      <c r="AI214">
        <v>0.23</v>
      </c>
      <c r="AJ214">
        <v>0.379</v>
      </c>
      <c r="AK214">
        <v>-1080</v>
      </c>
      <c r="AL214">
        <v>1800</v>
      </c>
      <c r="AM214" t="s">
        <v>44</v>
      </c>
      <c r="AN214">
        <v>4.9000000000000004</v>
      </c>
      <c r="AO214" t="s">
        <v>62</v>
      </c>
      <c r="AP214">
        <v>1</v>
      </c>
      <c r="AQ214">
        <v>117</v>
      </c>
    </row>
    <row r="215" spans="1:43" x14ac:dyDescent="0.2">
      <c r="A215" t="s">
        <v>122</v>
      </c>
      <c r="B215" t="s">
        <v>123</v>
      </c>
      <c r="C215">
        <v>160.26</v>
      </c>
      <c r="D215" t="s">
        <v>44</v>
      </c>
      <c r="G215" t="s">
        <v>44</v>
      </c>
      <c r="H215">
        <v>2</v>
      </c>
      <c r="I215" t="s">
        <v>45</v>
      </c>
      <c r="J215" t="s">
        <v>46</v>
      </c>
      <c r="K215">
        <v>265.5</v>
      </c>
      <c r="L215">
        <v>0.1</v>
      </c>
      <c r="M215" t="s">
        <v>47</v>
      </c>
      <c r="N215" t="s">
        <v>44</v>
      </c>
      <c r="O215" t="s">
        <v>44</v>
      </c>
      <c r="P215" t="s">
        <v>44</v>
      </c>
      <c r="Q215" t="s">
        <v>44</v>
      </c>
      <c r="R215">
        <v>2.1</v>
      </c>
      <c r="S215" s="5">
        <f t="shared" si="3"/>
        <v>33.130000000000003</v>
      </c>
      <c r="T215" t="s">
        <v>44</v>
      </c>
      <c r="U215" t="s">
        <v>44</v>
      </c>
      <c r="V215" t="s">
        <v>48</v>
      </c>
      <c r="W215" t="s">
        <v>44</v>
      </c>
      <c r="X215">
        <v>30</v>
      </c>
      <c r="Y215">
        <v>22</v>
      </c>
      <c r="Z215">
        <v>7</v>
      </c>
      <c r="AA215">
        <v>2000</v>
      </c>
      <c r="AB215" t="s">
        <v>49</v>
      </c>
      <c r="AC215" t="s">
        <v>50</v>
      </c>
      <c r="AD215">
        <v>1</v>
      </c>
      <c r="AE215">
        <v>0.10199999999999999</v>
      </c>
      <c r="AF215">
        <v>0.35799999999999998</v>
      </c>
      <c r="AG215">
        <v>-365</v>
      </c>
      <c r="AH215">
        <v>-2</v>
      </c>
      <c r="AI215">
        <v>0.23</v>
      </c>
      <c r="AJ215">
        <v>0.379</v>
      </c>
      <c r="AK215">
        <v>-1080</v>
      </c>
      <c r="AL215">
        <v>30</v>
      </c>
      <c r="AM215" t="s">
        <v>44</v>
      </c>
      <c r="AN215">
        <v>4.9000000000000004</v>
      </c>
      <c r="AO215" t="s">
        <v>124</v>
      </c>
      <c r="AP215">
        <v>1</v>
      </c>
      <c r="AQ215">
        <v>217</v>
      </c>
    </row>
    <row r="216" spans="1:43" x14ac:dyDescent="0.2">
      <c r="A216" t="s">
        <v>42</v>
      </c>
      <c r="B216" t="s">
        <v>43</v>
      </c>
      <c r="C216">
        <v>86.14</v>
      </c>
      <c r="D216" t="s">
        <v>44</v>
      </c>
      <c r="G216" t="s">
        <v>44</v>
      </c>
      <c r="H216">
        <v>2.64</v>
      </c>
      <c r="I216" t="s">
        <v>116</v>
      </c>
      <c r="J216" t="s">
        <v>117</v>
      </c>
      <c r="K216">
        <v>423.7</v>
      </c>
      <c r="L216">
        <v>2.8000000000000001E-2</v>
      </c>
      <c r="M216" t="s">
        <v>111</v>
      </c>
      <c r="N216" t="s">
        <v>61</v>
      </c>
      <c r="O216">
        <v>0.01</v>
      </c>
      <c r="P216" t="s">
        <v>118</v>
      </c>
      <c r="Q216">
        <v>4</v>
      </c>
      <c r="R216">
        <v>2.6680000000000001</v>
      </c>
      <c r="S216" s="5">
        <f t="shared" si="3"/>
        <v>463.77</v>
      </c>
      <c r="T216" t="s">
        <v>44</v>
      </c>
      <c r="U216" t="s">
        <v>44</v>
      </c>
      <c r="V216" t="s">
        <v>48</v>
      </c>
      <c r="W216" t="s">
        <v>44</v>
      </c>
      <c r="X216">
        <v>10</v>
      </c>
      <c r="Y216">
        <v>25</v>
      </c>
      <c r="Z216">
        <v>5</v>
      </c>
      <c r="AA216">
        <v>500</v>
      </c>
      <c r="AB216" t="s">
        <v>49</v>
      </c>
      <c r="AC216" t="s">
        <v>50</v>
      </c>
      <c r="AD216">
        <v>1</v>
      </c>
      <c r="AE216">
        <v>0.10199999999999999</v>
      </c>
      <c r="AF216">
        <v>0.35799999999999998</v>
      </c>
      <c r="AG216">
        <v>-365</v>
      </c>
      <c r="AH216">
        <v>-2</v>
      </c>
      <c r="AI216">
        <v>0.23</v>
      </c>
      <c r="AJ216">
        <v>0.379</v>
      </c>
      <c r="AK216">
        <v>-1080</v>
      </c>
      <c r="AL216">
        <v>480</v>
      </c>
      <c r="AM216" t="s">
        <v>44</v>
      </c>
      <c r="AN216">
        <v>4.9000000000000004</v>
      </c>
      <c r="AO216" t="s">
        <v>121</v>
      </c>
      <c r="AP216">
        <v>3</v>
      </c>
      <c r="AQ216">
        <v>218</v>
      </c>
    </row>
    <row r="217" spans="1:43" x14ac:dyDescent="0.2">
      <c r="A217" t="s">
        <v>59</v>
      </c>
      <c r="B217" t="s">
        <v>60</v>
      </c>
      <c r="C217">
        <v>43.1</v>
      </c>
      <c r="D217" t="s">
        <v>42</v>
      </c>
      <c r="E217" t="s">
        <v>43</v>
      </c>
      <c r="F217">
        <v>86.14</v>
      </c>
      <c r="G217">
        <v>3.9999999999999991</v>
      </c>
      <c r="H217">
        <v>3</v>
      </c>
      <c r="I217" t="s">
        <v>45</v>
      </c>
      <c r="J217" t="s">
        <v>46</v>
      </c>
      <c r="K217">
        <v>265.5</v>
      </c>
      <c r="L217">
        <v>0.6</v>
      </c>
      <c r="M217" t="s">
        <v>47</v>
      </c>
      <c r="N217" t="s">
        <v>44</v>
      </c>
      <c r="O217" t="s">
        <v>44</v>
      </c>
      <c r="P217" t="s">
        <v>44</v>
      </c>
      <c r="Q217" t="s">
        <v>44</v>
      </c>
      <c r="R217">
        <v>3.6</v>
      </c>
      <c r="S217" s="5">
        <f t="shared" si="3"/>
        <v>27.72</v>
      </c>
      <c r="T217">
        <v>9.5</v>
      </c>
      <c r="U217" t="s">
        <v>44</v>
      </c>
      <c r="V217" t="s">
        <v>48</v>
      </c>
      <c r="W217" t="s">
        <v>44</v>
      </c>
      <c r="X217">
        <v>20</v>
      </c>
      <c r="Y217">
        <v>75</v>
      </c>
      <c r="Z217">
        <v>8</v>
      </c>
      <c r="AA217">
        <v>500</v>
      </c>
      <c r="AB217" t="s">
        <v>69</v>
      </c>
      <c r="AC217" t="s">
        <v>50</v>
      </c>
      <c r="AD217">
        <v>2</v>
      </c>
      <c r="AE217">
        <v>7.1999999999999995E-2</v>
      </c>
      <c r="AF217">
        <v>0.42799999999999999</v>
      </c>
      <c r="AG217">
        <v>-1830</v>
      </c>
      <c r="AH217">
        <v>-2</v>
      </c>
      <c r="AI217">
        <v>0.23</v>
      </c>
      <c r="AJ217">
        <v>0.379</v>
      </c>
      <c r="AK217">
        <v>-1080</v>
      </c>
      <c r="AL217">
        <v>1800</v>
      </c>
      <c r="AM217" t="s">
        <v>44</v>
      </c>
      <c r="AN217">
        <v>4.9000000000000004</v>
      </c>
      <c r="AO217" t="s">
        <v>143</v>
      </c>
      <c r="AP217">
        <v>1</v>
      </c>
      <c r="AQ217">
        <v>335</v>
      </c>
    </row>
    <row r="218" spans="1:43" x14ac:dyDescent="0.2">
      <c r="A218" t="s">
        <v>42</v>
      </c>
      <c r="B218" t="s">
        <v>43</v>
      </c>
      <c r="C218">
        <v>86.14</v>
      </c>
      <c r="D218" t="s">
        <v>44</v>
      </c>
      <c r="G218" t="s">
        <v>44</v>
      </c>
      <c r="H218">
        <v>2</v>
      </c>
      <c r="I218" t="s">
        <v>45</v>
      </c>
      <c r="J218" t="s">
        <v>46</v>
      </c>
      <c r="K218">
        <v>265.5</v>
      </c>
      <c r="L218">
        <v>0.192</v>
      </c>
      <c r="M218" t="s">
        <v>47</v>
      </c>
      <c r="N218" t="s">
        <v>44</v>
      </c>
      <c r="O218" t="s">
        <v>44</v>
      </c>
      <c r="P218" t="s">
        <v>44</v>
      </c>
      <c r="Q218" t="s">
        <v>44</v>
      </c>
      <c r="R218">
        <v>2.1920000000000002</v>
      </c>
      <c r="S218" s="5">
        <f t="shared" si="3"/>
        <v>32.11</v>
      </c>
      <c r="T218" t="s">
        <v>44</v>
      </c>
      <c r="U218" t="s">
        <v>44</v>
      </c>
      <c r="V218" t="s">
        <v>48</v>
      </c>
      <c r="W218" t="s">
        <v>44</v>
      </c>
      <c r="X218">
        <v>5</v>
      </c>
      <c r="Y218">
        <v>60</v>
      </c>
      <c r="Z218">
        <v>5</v>
      </c>
      <c r="AA218">
        <v>1000</v>
      </c>
      <c r="AB218" t="s">
        <v>49</v>
      </c>
      <c r="AC218" t="s">
        <v>50</v>
      </c>
      <c r="AD218">
        <v>1</v>
      </c>
      <c r="AE218">
        <v>0.10199999999999999</v>
      </c>
      <c r="AF218">
        <v>0.35799999999999998</v>
      </c>
      <c r="AG218">
        <v>-365</v>
      </c>
      <c r="AH218">
        <v>-2</v>
      </c>
      <c r="AI218">
        <v>0.23</v>
      </c>
      <c r="AJ218">
        <v>0.379</v>
      </c>
      <c r="AK218">
        <v>-1080</v>
      </c>
      <c r="AL218">
        <v>60</v>
      </c>
      <c r="AM218" t="s">
        <v>44</v>
      </c>
      <c r="AN218">
        <v>5</v>
      </c>
      <c r="AO218" t="s">
        <v>134</v>
      </c>
      <c r="AP218">
        <v>1</v>
      </c>
      <c r="AQ218">
        <v>213</v>
      </c>
    </row>
    <row r="219" spans="1:43" x14ac:dyDescent="0.2">
      <c r="A219" t="s">
        <v>42</v>
      </c>
      <c r="B219" t="s">
        <v>43</v>
      </c>
      <c r="C219">
        <v>86.14</v>
      </c>
      <c r="D219" t="s">
        <v>122</v>
      </c>
      <c r="E219" t="s">
        <v>123</v>
      </c>
      <c r="F219">
        <v>160.26</v>
      </c>
      <c r="G219">
        <v>0.82</v>
      </c>
      <c r="H219">
        <v>2</v>
      </c>
      <c r="I219" t="s">
        <v>45</v>
      </c>
      <c r="J219" t="s">
        <v>46</v>
      </c>
      <c r="K219">
        <v>265.5</v>
      </c>
      <c r="L219">
        <v>0.1</v>
      </c>
      <c r="M219" t="s">
        <v>47</v>
      </c>
      <c r="N219" t="s">
        <v>44</v>
      </c>
      <c r="O219" t="s">
        <v>44</v>
      </c>
      <c r="P219" t="s">
        <v>44</v>
      </c>
      <c r="Q219" t="s">
        <v>44</v>
      </c>
      <c r="R219">
        <v>2.1</v>
      </c>
      <c r="S219" s="5">
        <f t="shared" si="3"/>
        <v>45.98</v>
      </c>
      <c r="T219" t="s">
        <v>44</v>
      </c>
      <c r="U219" t="s">
        <v>44</v>
      </c>
      <c r="V219" t="s">
        <v>48</v>
      </c>
      <c r="W219" t="s">
        <v>44</v>
      </c>
      <c r="X219">
        <v>30</v>
      </c>
      <c r="Y219">
        <v>22</v>
      </c>
      <c r="Z219">
        <v>7</v>
      </c>
      <c r="AA219">
        <v>2000</v>
      </c>
      <c r="AB219" t="s">
        <v>49</v>
      </c>
      <c r="AC219" t="s">
        <v>52</v>
      </c>
      <c r="AD219">
        <v>1</v>
      </c>
      <c r="AE219">
        <v>0.10199999999999999</v>
      </c>
      <c r="AF219">
        <v>0.35799999999999998</v>
      </c>
      <c r="AG219">
        <v>-365</v>
      </c>
      <c r="AH219">
        <v>-1</v>
      </c>
      <c r="AI219">
        <v>0.18099999999999999</v>
      </c>
      <c r="AJ219">
        <v>0.33200000000000002</v>
      </c>
      <c r="AK219">
        <v>-340</v>
      </c>
      <c r="AL219">
        <v>30</v>
      </c>
      <c r="AM219" t="s">
        <v>44</v>
      </c>
      <c r="AN219">
        <v>5</v>
      </c>
      <c r="AO219" t="s">
        <v>124</v>
      </c>
      <c r="AP219">
        <v>1</v>
      </c>
      <c r="AQ219">
        <v>214</v>
      </c>
    </row>
    <row r="220" spans="1:43" x14ac:dyDescent="0.2">
      <c r="A220" t="s">
        <v>108</v>
      </c>
      <c r="B220" t="s">
        <v>109</v>
      </c>
      <c r="C220">
        <v>142.24</v>
      </c>
      <c r="D220" t="s">
        <v>44</v>
      </c>
      <c r="G220" t="s">
        <v>44</v>
      </c>
      <c r="H220">
        <v>1</v>
      </c>
      <c r="I220" t="s">
        <v>45</v>
      </c>
      <c r="J220" t="s">
        <v>46</v>
      </c>
      <c r="K220">
        <v>265.5</v>
      </c>
      <c r="L220">
        <v>1</v>
      </c>
      <c r="M220" t="s">
        <v>47</v>
      </c>
      <c r="N220" t="s">
        <v>44</v>
      </c>
      <c r="O220" t="s">
        <v>44</v>
      </c>
      <c r="P220" t="s">
        <v>44</v>
      </c>
      <c r="Q220" t="s">
        <v>44</v>
      </c>
      <c r="R220">
        <v>2</v>
      </c>
      <c r="S220" s="5">
        <f t="shared" si="3"/>
        <v>1.87</v>
      </c>
      <c r="T220" t="s">
        <v>44</v>
      </c>
      <c r="U220" t="s">
        <v>44</v>
      </c>
      <c r="V220" t="s">
        <v>48</v>
      </c>
      <c r="W220" t="s">
        <v>44</v>
      </c>
      <c r="X220">
        <v>3</v>
      </c>
      <c r="Y220">
        <v>70</v>
      </c>
      <c r="Z220">
        <v>10</v>
      </c>
      <c r="AA220">
        <v>2000</v>
      </c>
      <c r="AB220" t="s">
        <v>49</v>
      </c>
      <c r="AC220" t="s">
        <v>52</v>
      </c>
      <c r="AD220">
        <v>1</v>
      </c>
      <c r="AE220">
        <v>0.10199999999999999</v>
      </c>
      <c r="AF220">
        <v>0.35799999999999998</v>
      </c>
      <c r="AG220">
        <v>-365</v>
      </c>
      <c r="AH220">
        <v>-1</v>
      </c>
      <c r="AI220">
        <v>0.18099999999999999</v>
      </c>
      <c r="AJ220">
        <v>0.33200000000000002</v>
      </c>
      <c r="AK220">
        <v>-340</v>
      </c>
      <c r="AL220">
        <v>180</v>
      </c>
      <c r="AM220" t="s">
        <v>44</v>
      </c>
      <c r="AN220">
        <v>5</v>
      </c>
      <c r="AO220" t="s">
        <v>110</v>
      </c>
      <c r="AP220">
        <v>1</v>
      </c>
      <c r="AQ220">
        <v>215</v>
      </c>
    </row>
    <row r="221" spans="1:43" x14ac:dyDescent="0.2">
      <c r="A221" t="s">
        <v>42</v>
      </c>
      <c r="B221" t="s">
        <v>43</v>
      </c>
      <c r="C221">
        <v>86.14</v>
      </c>
      <c r="D221" t="s">
        <v>44</v>
      </c>
      <c r="G221" t="s">
        <v>44</v>
      </c>
      <c r="H221">
        <v>0.35</v>
      </c>
      <c r="I221" t="s">
        <v>45</v>
      </c>
      <c r="J221" t="s">
        <v>46</v>
      </c>
      <c r="K221">
        <v>265.5</v>
      </c>
      <c r="L221">
        <v>0.35</v>
      </c>
      <c r="M221" t="s">
        <v>47</v>
      </c>
      <c r="N221" t="s">
        <v>44</v>
      </c>
      <c r="O221" t="s">
        <v>44</v>
      </c>
      <c r="P221" t="s">
        <v>44</v>
      </c>
      <c r="Q221" t="s">
        <v>44</v>
      </c>
      <c r="R221">
        <v>0.7</v>
      </c>
      <c r="S221" s="5">
        <f t="shared" si="3"/>
        <v>3.08</v>
      </c>
      <c r="T221" t="s">
        <v>44</v>
      </c>
      <c r="U221" t="s">
        <v>44</v>
      </c>
      <c r="V221" t="s">
        <v>48</v>
      </c>
      <c r="W221" t="s">
        <v>44</v>
      </c>
      <c r="X221">
        <v>20</v>
      </c>
      <c r="Y221">
        <v>50</v>
      </c>
      <c r="Z221">
        <v>6</v>
      </c>
      <c r="AA221">
        <v>3000</v>
      </c>
      <c r="AB221" t="s">
        <v>69</v>
      </c>
      <c r="AC221" t="s">
        <v>50</v>
      </c>
      <c r="AD221">
        <v>2</v>
      </c>
      <c r="AE221">
        <v>7.1999999999999995E-2</v>
      </c>
      <c r="AF221">
        <v>0.42799999999999999</v>
      </c>
      <c r="AG221">
        <v>-1830</v>
      </c>
      <c r="AH221">
        <v>-2</v>
      </c>
      <c r="AI221">
        <v>0.23</v>
      </c>
      <c r="AJ221">
        <v>0.379</v>
      </c>
      <c r="AK221">
        <v>-1080</v>
      </c>
      <c r="AL221">
        <v>120</v>
      </c>
      <c r="AM221" t="s">
        <v>44</v>
      </c>
      <c r="AN221">
        <v>5</v>
      </c>
      <c r="AO221" t="s">
        <v>114</v>
      </c>
      <c r="AP221">
        <v>1</v>
      </c>
      <c r="AQ221">
        <v>216</v>
      </c>
    </row>
    <row r="222" spans="1:43" x14ac:dyDescent="0.2">
      <c r="A222" s="2" t="s">
        <v>42</v>
      </c>
      <c r="B222" s="2" t="s">
        <v>43</v>
      </c>
      <c r="C222" s="2">
        <v>86.14</v>
      </c>
      <c r="D222" s="2" t="s">
        <v>44</v>
      </c>
      <c r="E222" s="2"/>
      <c r="F222" s="2"/>
      <c r="G222" s="2" t="s">
        <v>44</v>
      </c>
      <c r="H222" s="2">
        <v>0.35</v>
      </c>
      <c r="I222" s="2" t="s">
        <v>45</v>
      </c>
      <c r="J222" s="2" t="s">
        <v>46</v>
      </c>
      <c r="K222" s="2">
        <v>265.5</v>
      </c>
      <c r="L222" s="2">
        <v>0.30399999999999999</v>
      </c>
      <c r="M222" s="2" t="s">
        <v>47</v>
      </c>
      <c r="N222" s="2" t="s">
        <v>44</v>
      </c>
      <c r="O222" s="2" t="s">
        <v>44</v>
      </c>
      <c r="P222" s="2" t="s">
        <v>44</v>
      </c>
      <c r="Q222" s="2" t="s">
        <v>44</v>
      </c>
      <c r="R222" s="2">
        <v>0.65400000000000003</v>
      </c>
      <c r="S222" s="3">
        <f t="shared" si="3"/>
        <v>3.55</v>
      </c>
      <c r="T222" s="2">
        <v>12</v>
      </c>
      <c r="U222" s="2" t="s">
        <v>44</v>
      </c>
      <c r="V222" s="2" t="s">
        <v>48</v>
      </c>
      <c r="W222" s="2" t="s">
        <v>44</v>
      </c>
      <c r="X222" s="2">
        <v>15</v>
      </c>
      <c r="Y222" s="2">
        <v>50</v>
      </c>
      <c r="Z222" s="2">
        <v>6</v>
      </c>
      <c r="AA222" s="2">
        <v>1000</v>
      </c>
      <c r="AB222" s="2" t="s">
        <v>49</v>
      </c>
      <c r="AC222" s="2" t="s">
        <v>50</v>
      </c>
      <c r="AD222" s="2">
        <v>1</v>
      </c>
      <c r="AE222" s="2">
        <v>0.10199999999999999</v>
      </c>
      <c r="AF222" s="2">
        <v>0.35799999999999998</v>
      </c>
      <c r="AG222" s="2">
        <v>-365</v>
      </c>
      <c r="AH222" s="2">
        <v>-2</v>
      </c>
      <c r="AI222" s="2">
        <v>0.23</v>
      </c>
      <c r="AJ222" s="2">
        <v>0.379</v>
      </c>
      <c r="AK222" s="2">
        <v>-1080</v>
      </c>
      <c r="AL222" s="2">
        <v>60</v>
      </c>
      <c r="AM222" s="2" t="s">
        <v>44</v>
      </c>
      <c r="AN222" s="2">
        <v>5.0999999999999996</v>
      </c>
      <c r="AO222" s="2" t="s">
        <v>51</v>
      </c>
      <c r="AP222" s="2">
        <v>1</v>
      </c>
      <c r="AQ222" s="2">
        <v>1</v>
      </c>
    </row>
    <row r="223" spans="1:43" x14ac:dyDescent="0.2">
      <c r="A223" s="2" t="s">
        <v>42</v>
      </c>
      <c r="B223" s="2" t="s">
        <v>43</v>
      </c>
      <c r="C223" s="2">
        <v>86.14</v>
      </c>
      <c r="D223" s="2" t="s">
        <v>44</v>
      </c>
      <c r="E223" s="2"/>
      <c r="F223" s="2"/>
      <c r="G223" s="2" t="s">
        <v>44</v>
      </c>
      <c r="H223" s="2">
        <v>1</v>
      </c>
      <c r="I223" s="2" t="s">
        <v>45</v>
      </c>
      <c r="J223" s="2" t="s">
        <v>46</v>
      </c>
      <c r="K223" s="2">
        <v>265.5</v>
      </c>
      <c r="L223" s="2">
        <v>0.30499999999999999</v>
      </c>
      <c r="M223" s="2" t="s">
        <v>98</v>
      </c>
      <c r="N223" s="2" t="s">
        <v>44</v>
      </c>
      <c r="O223" s="2" t="s">
        <v>44</v>
      </c>
      <c r="P223" s="2" t="s">
        <v>44</v>
      </c>
      <c r="Q223" s="2" t="s">
        <v>44</v>
      </c>
      <c r="R223" s="2">
        <v>1.3049999999999999</v>
      </c>
      <c r="S223" s="3">
        <f t="shared" si="3"/>
        <v>10.11</v>
      </c>
      <c r="T223" s="2" t="s">
        <v>44</v>
      </c>
      <c r="U223" s="2" t="s">
        <v>44</v>
      </c>
      <c r="V223" s="2" t="s">
        <v>48</v>
      </c>
      <c r="W223" s="2" t="s">
        <v>44</v>
      </c>
      <c r="X223" s="2" t="s">
        <v>44</v>
      </c>
      <c r="Y223" s="2" t="s">
        <v>44</v>
      </c>
      <c r="Z223" s="2">
        <v>10</v>
      </c>
      <c r="AA223" s="2">
        <v>1000</v>
      </c>
      <c r="AB223" s="2" t="s">
        <v>49</v>
      </c>
      <c r="AC223" s="2" t="s">
        <v>50</v>
      </c>
      <c r="AD223" s="2">
        <v>1</v>
      </c>
      <c r="AE223" s="2">
        <v>0.10199999999999999</v>
      </c>
      <c r="AF223" s="2">
        <v>0.35799999999999998</v>
      </c>
      <c r="AG223" s="2">
        <v>-365</v>
      </c>
      <c r="AH223" s="2">
        <v>-2</v>
      </c>
      <c r="AI223" s="2">
        <v>0.23</v>
      </c>
      <c r="AJ223" s="2">
        <v>0.379</v>
      </c>
      <c r="AK223" s="2">
        <v>-1080</v>
      </c>
      <c r="AL223" s="2">
        <v>30</v>
      </c>
      <c r="AM223" s="2" t="s">
        <v>44</v>
      </c>
      <c r="AN223" s="2">
        <v>5.0999999999999996</v>
      </c>
      <c r="AO223" s="2" t="s">
        <v>105</v>
      </c>
      <c r="AP223" s="2">
        <v>1</v>
      </c>
      <c r="AQ223" s="2">
        <v>208</v>
      </c>
    </row>
    <row r="224" spans="1:43" x14ac:dyDescent="0.2">
      <c r="A224" s="2" t="s">
        <v>42</v>
      </c>
      <c r="B224" s="2" t="s">
        <v>43</v>
      </c>
      <c r="C224" s="2">
        <v>86.14</v>
      </c>
      <c r="D224" s="2" t="s">
        <v>44</v>
      </c>
      <c r="E224" s="2"/>
      <c r="F224" s="2"/>
      <c r="G224" s="2" t="s">
        <v>44</v>
      </c>
      <c r="H224" s="2">
        <v>2</v>
      </c>
      <c r="I224" s="2" t="s">
        <v>45</v>
      </c>
      <c r="J224" s="2" t="s">
        <v>46</v>
      </c>
      <c r="K224" s="2">
        <v>265.5</v>
      </c>
      <c r="L224" s="2">
        <v>0.153</v>
      </c>
      <c r="M224" s="2" t="s">
        <v>98</v>
      </c>
      <c r="N224" s="2" t="s">
        <v>44</v>
      </c>
      <c r="O224" s="2" t="s">
        <v>44</v>
      </c>
      <c r="P224" s="2" t="s">
        <v>44</v>
      </c>
      <c r="Q224" s="2" t="s">
        <v>44</v>
      </c>
      <c r="R224" s="2">
        <v>2.153</v>
      </c>
      <c r="S224" s="3">
        <f t="shared" si="3"/>
        <v>40.29</v>
      </c>
      <c r="T224" s="2" t="s">
        <v>44</v>
      </c>
      <c r="U224" s="2" t="s">
        <v>44</v>
      </c>
      <c r="V224" s="2" t="s">
        <v>48</v>
      </c>
      <c r="W224" s="2" t="s">
        <v>44</v>
      </c>
      <c r="X224" s="2" t="s">
        <v>44</v>
      </c>
      <c r="Y224" s="2" t="s">
        <v>44</v>
      </c>
      <c r="Z224" s="2">
        <v>10</v>
      </c>
      <c r="AA224" s="2">
        <v>1000</v>
      </c>
      <c r="AB224" s="2" t="s">
        <v>49</v>
      </c>
      <c r="AC224" s="2" t="s">
        <v>50</v>
      </c>
      <c r="AD224" s="2">
        <v>1</v>
      </c>
      <c r="AE224" s="2">
        <v>0.10199999999999999</v>
      </c>
      <c r="AF224" s="2">
        <v>0.35799999999999998</v>
      </c>
      <c r="AG224" s="2">
        <v>-365</v>
      </c>
      <c r="AH224" s="2">
        <v>-2</v>
      </c>
      <c r="AI224" s="2">
        <v>0.23</v>
      </c>
      <c r="AJ224" s="2">
        <v>0.379</v>
      </c>
      <c r="AK224" s="2">
        <v>-1080</v>
      </c>
      <c r="AL224" s="2">
        <v>30</v>
      </c>
      <c r="AM224" s="2" t="s">
        <v>44</v>
      </c>
      <c r="AN224" s="2">
        <v>5.0999999999999996</v>
      </c>
      <c r="AO224" s="2" t="s">
        <v>105</v>
      </c>
      <c r="AP224" s="2">
        <v>1</v>
      </c>
      <c r="AQ224" s="2">
        <v>209</v>
      </c>
    </row>
    <row r="225" spans="1:43" x14ac:dyDescent="0.2">
      <c r="A225" s="2" t="s">
        <v>42</v>
      </c>
      <c r="B225" s="2" t="s">
        <v>43</v>
      </c>
      <c r="C225" s="2">
        <v>86.14</v>
      </c>
      <c r="D225" s="2" t="s">
        <v>44</v>
      </c>
      <c r="E225" s="2"/>
      <c r="F225" s="2"/>
      <c r="G225" s="2" t="s">
        <v>44</v>
      </c>
      <c r="H225" s="2">
        <v>0.15</v>
      </c>
      <c r="I225" s="2" t="s">
        <v>45</v>
      </c>
      <c r="J225" s="2" t="s">
        <v>46</v>
      </c>
      <c r="K225" s="2">
        <v>265.5</v>
      </c>
      <c r="L225" s="2">
        <v>0.2</v>
      </c>
      <c r="M225" s="2" t="s">
        <v>47</v>
      </c>
      <c r="N225" s="2" t="s">
        <v>44</v>
      </c>
      <c r="O225" s="2" t="s">
        <v>44</v>
      </c>
      <c r="P225" s="2" t="s">
        <v>44</v>
      </c>
      <c r="Q225" s="2" t="s">
        <v>44</v>
      </c>
      <c r="R225" s="2">
        <v>0.35</v>
      </c>
      <c r="S225" s="3">
        <f t="shared" si="3"/>
        <v>2.31</v>
      </c>
      <c r="T225" s="2" t="s">
        <v>44</v>
      </c>
      <c r="U225" s="2" t="s">
        <v>44</v>
      </c>
      <c r="V225" s="2" t="s">
        <v>48</v>
      </c>
      <c r="W225" s="2" t="s">
        <v>44</v>
      </c>
      <c r="X225" s="2">
        <v>20</v>
      </c>
      <c r="Y225" s="2">
        <v>50</v>
      </c>
      <c r="Z225" s="2">
        <v>6</v>
      </c>
      <c r="AA225" s="2">
        <v>3000</v>
      </c>
      <c r="AB225" s="2" t="s">
        <v>49</v>
      </c>
      <c r="AC225" s="2" t="s">
        <v>52</v>
      </c>
      <c r="AD225" s="2">
        <v>1</v>
      </c>
      <c r="AE225" s="2">
        <v>0.10199999999999999</v>
      </c>
      <c r="AF225" s="2">
        <v>0.35799999999999998</v>
      </c>
      <c r="AG225" s="2">
        <v>-365</v>
      </c>
      <c r="AH225" s="2">
        <v>-1</v>
      </c>
      <c r="AI225" s="2">
        <v>0.18099999999999999</v>
      </c>
      <c r="AJ225" s="2">
        <v>0.33200000000000002</v>
      </c>
      <c r="AK225" s="2">
        <v>-340</v>
      </c>
      <c r="AL225" s="2">
        <v>120</v>
      </c>
      <c r="AM225" s="2" t="s">
        <v>44</v>
      </c>
      <c r="AN225" s="2">
        <v>5.0999999999999996</v>
      </c>
      <c r="AO225" s="2" t="s">
        <v>114</v>
      </c>
      <c r="AP225" s="2">
        <v>1</v>
      </c>
      <c r="AQ225" s="2">
        <v>210</v>
      </c>
    </row>
    <row r="226" spans="1:43" x14ac:dyDescent="0.2">
      <c r="A226" s="2" t="s">
        <v>42</v>
      </c>
      <c r="B226" s="2" t="s">
        <v>43</v>
      </c>
      <c r="C226" s="2">
        <v>86.14</v>
      </c>
      <c r="D226" s="2" t="s">
        <v>44</v>
      </c>
      <c r="E226" s="2"/>
      <c r="F226" s="2"/>
      <c r="G226" s="2" t="s">
        <v>44</v>
      </c>
      <c r="H226" s="2">
        <v>1</v>
      </c>
      <c r="I226" s="2" t="s">
        <v>45</v>
      </c>
      <c r="J226" s="2" t="s">
        <v>46</v>
      </c>
      <c r="K226" s="2">
        <v>265.5</v>
      </c>
      <c r="L226" s="2">
        <v>0.2</v>
      </c>
      <c r="M226" s="2" t="s">
        <v>47</v>
      </c>
      <c r="N226" s="2" t="s">
        <v>44</v>
      </c>
      <c r="O226" s="2" t="s">
        <v>44</v>
      </c>
      <c r="P226" s="2" t="s">
        <v>44</v>
      </c>
      <c r="Q226" s="2" t="s">
        <v>44</v>
      </c>
      <c r="R226" s="2">
        <v>1.2</v>
      </c>
      <c r="S226" s="3">
        <f t="shared" si="3"/>
        <v>15.41</v>
      </c>
      <c r="T226" s="2" t="s">
        <v>44</v>
      </c>
      <c r="U226" s="2" t="s">
        <v>44</v>
      </c>
      <c r="V226" s="2" t="s">
        <v>48</v>
      </c>
      <c r="W226" s="2" t="s">
        <v>44</v>
      </c>
      <c r="X226" s="2">
        <v>8</v>
      </c>
      <c r="Y226" s="2">
        <v>70</v>
      </c>
      <c r="Z226" s="2">
        <v>6</v>
      </c>
      <c r="AA226" s="2">
        <v>2000</v>
      </c>
      <c r="AB226" s="2" t="s">
        <v>49</v>
      </c>
      <c r="AC226" s="2" t="s">
        <v>50</v>
      </c>
      <c r="AD226" s="2">
        <v>1</v>
      </c>
      <c r="AE226" s="2">
        <v>0.10199999999999999</v>
      </c>
      <c r="AF226" s="2">
        <v>0.35799999999999998</v>
      </c>
      <c r="AG226" s="2">
        <v>-365</v>
      </c>
      <c r="AH226" s="2">
        <v>-2</v>
      </c>
      <c r="AI226" s="2">
        <v>0.23</v>
      </c>
      <c r="AJ226" s="2">
        <v>0.379</v>
      </c>
      <c r="AK226" s="2">
        <v>-1080</v>
      </c>
      <c r="AL226" s="2">
        <v>60</v>
      </c>
      <c r="AM226" s="2" t="s">
        <v>44</v>
      </c>
      <c r="AN226" s="2">
        <v>5.0999999999999996</v>
      </c>
      <c r="AO226" s="2" t="s">
        <v>100</v>
      </c>
      <c r="AP226" s="2">
        <v>1</v>
      </c>
      <c r="AQ226" s="2">
        <v>211</v>
      </c>
    </row>
    <row r="227" spans="1:43" x14ac:dyDescent="0.2">
      <c r="A227" s="2" t="s">
        <v>42</v>
      </c>
      <c r="B227" s="2" t="s">
        <v>43</v>
      </c>
      <c r="C227" s="2">
        <v>86.14</v>
      </c>
      <c r="D227" s="2" t="s">
        <v>44</v>
      </c>
      <c r="E227" s="2"/>
      <c r="F227" s="2"/>
      <c r="G227" s="2" t="s">
        <v>44</v>
      </c>
      <c r="H227" s="2">
        <v>0.35</v>
      </c>
      <c r="I227" s="2" t="s">
        <v>45</v>
      </c>
      <c r="J227" s="2" t="s">
        <v>46</v>
      </c>
      <c r="K227" s="2">
        <v>265.5</v>
      </c>
      <c r="L227" s="2">
        <v>0.30599999999999999</v>
      </c>
      <c r="M227" s="2" t="s">
        <v>47</v>
      </c>
      <c r="N227" s="2" t="s">
        <v>44</v>
      </c>
      <c r="O227" s="2" t="s">
        <v>44</v>
      </c>
      <c r="P227" s="2" t="s">
        <v>44</v>
      </c>
      <c r="Q227" s="2" t="s">
        <v>44</v>
      </c>
      <c r="R227" s="2">
        <v>0.65600000000000003</v>
      </c>
      <c r="S227" s="3">
        <f t="shared" si="3"/>
        <v>3.53</v>
      </c>
      <c r="T227" s="2">
        <v>12</v>
      </c>
      <c r="U227" s="2" t="s">
        <v>44</v>
      </c>
      <c r="V227" s="2" t="s">
        <v>48</v>
      </c>
      <c r="W227" s="2" t="s">
        <v>44</v>
      </c>
      <c r="X227" s="2">
        <v>15</v>
      </c>
      <c r="Y227" s="2">
        <v>50</v>
      </c>
      <c r="Z227" s="2">
        <v>6</v>
      </c>
      <c r="AA227" s="2">
        <v>1000</v>
      </c>
      <c r="AB227" s="2" t="s">
        <v>49</v>
      </c>
      <c r="AC227" s="2" t="s">
        <v>50</v>
      </c>
      <c r="AD227" s="2">
        <v>1</v>
      </c>
      <c r="AE227" s="2">
        <v>0.10199999999999999</v>
      </c>
      <c r="AF227" s="2">
        <v>0.35799999999999998</v>
      </c>
      <c r="AG227" s="2">
        <v>-365</v>
      </c>
      <c r="AH227" s="2">
        <v>-2</v>
      </c>
      <c r="AI227" s="2">
        <v>0.23</v>
      </c>
      <c r="AJ227" s="2">
        <v>0.379</v>
      </c>
      <c r="AK227" s="2">
        <v>-1080</v>
      </c>
      <c r="AL227" s="2">
        <v>60</v>
      </c>
      <c r="AM227" s="2" t="s">
        <v>44</v>
      </c>
      <c r="AN227" s="2">
        <v>5.0999999999999996</v>
      </c>
      <c r="AO227" s="2" t="s">
        <v>133</v>
      </c>
      <c r="AP227" s="2">
        <v>1</v>
      </c>
      <c r="AQ227" s="2">
        <v>212</v>
      </c>
    </row>
    <row r="228" spans="1:43" x14ac:dyDescent="0.2">
      <c r="A228" s="2" t="s">
        <v>59</v>
      </c>
      <c r="B228" s="2" t="s">
        <v>60</v>
      </c>
      <c r="C228" s="2">
        <v>43.1</v>
      </c>
      <c r="D228" s="2" t="s">
        <v>44</v>
      </c>
      <c r="E228" s="2"/>
      <c r="F228" s="2"/>
      <c r="G228" s="2" t="s">
        <v>44</v>
      </c>
      <c r="H228" s="2">
        <v>0.5</v>
      </c>
      <c r="I228" s="2" t="s">
        <v>45</v>
      </c>
      <c r="J228" s="2" t="s">
        <v>46</v>
      </c>
      <c r="K228" s="2">
        <v>265.5</v>
      </c>
      <c r="L228" s="2">
        <v>0.4</v>
      </c>
      <c r="M228" s="2" t="s">
        <v>47</v>
      </c>
      <c r="N228" s="2" t="s">
        <v>61</v>
      </c>
      <c r="O228" s="2">
        <v>0.1</v>
      </c>
      <c r="P228" s="2" t="s">
        <v>44</v>
      </c>
      <c r="Q228" s="2" t="s">
        <v>44</v>
      </c>
      <c r="R228" s="2">
        <v>0.9</v>
      </c>
      <c r="S228" s="3">
        <f t="shared" si="3"/>
        <v>7.7</v>
      </c>
      <c r="T228" s="2">
        <v>9.5</v>
      </c>
      <c r="U228" s="2" t="s">
        <v>44</v>
      </c>
      <c r="V228" s="2" t="s">
        <v>48</v>
      </c>
      <c r="W228" s="2" t="s">
        <v>44</v>
      </c>
      <c r="X228" s="2">
        <v>20</v>
      </c>
      <c r="Y228" s="2">
        <v>95</v>
      </c>
      <c r="Z228" s="2">
        <v>8</v>
      </c>
      <c r="AA228" s="2">
        <v>500</v>
      </c>
      <c r="AB228" s="2" t="s">
        <v>69</v>
      </c>
      <c r="AC228" s="2" t="s">
        <v>52</v>
      </c>
      <c r="AD228" s="2">
        <v>2</v>
      </c>
      <c r="AE228" s="2">
        <v>7.1999999999999995E-2</v>
      </c>
      <c r="AF228" s="2">
        <v>0.42799999999999999</v>
      </c>
      <c r="AG228" s="2">
        <v>-1830</v>
      </c>
      <c r="AH228" s="2">
        <v>-1</v>
      </c>
      <c r="AI228" s="2">
        <v>0.18099999999999999</v>
      </c>
      <c r="AJ228" s="2">
        <v>0.33200000000000002</v>
      </c>
      <c r="AK228" s="2">
        <v>-340</v>
      </c>
      <c r="AL228" s="2">
        <v>1800</v>
      </c>
      <c r="AM228" s="2" t="s">
        <v>44</v>
      </c>
      <c r="AN228" s="2">
        <v>5.2</v>
      </c>
      <c r="AO228" t="s">
        <v>62</v>
      </c>
      <c r="AP228">
        <v>1</v>
      </c>
      <c r="AQ228">
        <v>113</v>
      </c>
    </row>
    <row r="229" spans="1:43" x14ac:dyDescent="0.2">
      <c r="A229" s="2" t="s">
        <v>42</v>
      </c>
      <c r="B229" s="2" t="s">
        <v>43</v>
      </c>
      <c r="C229" s="2">
        <v>86.14</v>
      </c>
      <c r="D229" s="2" t="s">
        <v>44</v>
      </c>
      <c r="E229" s="2"/>
      <c r="F229" s="2"/>
      <c r="G229" s="2" t="s">
        <v>44</v>
      </c>
      <c r="H229" s="2">
        <v>1</v>
      </c>
      <c r="I229" s="2" t="s">
        <v>45</v>
      </c>
      <c r="J229" s="2" t="s">
        <v>46</v>
      </c>
      <c r="K229" s="2">
        <v>265.5</v>
      </c>
      <c r="L229" s="2">
        <v>0.38100000000000001</v>
      </c>
      <c r="M229" s="2" t="s">
        <v>98</v>
      </c>
      <c r="N229" s="2" t="s">
        <v>44</v>
      </c>
      <c r="O229" s="2" t="s">
        <v>44</v>
      </c>
      <c r="P229" s="2" t="s">
        <v>44</v>
      </c>
      <c r="Q229" s="2" t="s">
        <v>44</v>
      </c>
      <c r="R229" s="2">
        <v>1.381</v>
      </c>
      <c r="S229" s="3">
        <f t="shared" si="3"/>
        <v>8.09</v>
      </c>
      <c r="T229" s="2" t="s">
        <v>44</v>
      </c>
      <c r="U229" s="2" t="s">
        <v>44</v>
      </c>
      <c r="V229" s="2" t="s">
        <v>48</v>
      </c>
      <c r="W229" s="2" t="s">
        <v>44</v>
      </c>
      <c r="X229" s="2" t="s">
        <v>44</v>
      </c>
      <c r="Y229" s="2" t="s">
        <v>44</v>
      </c>
      <c r="Z229" s="2">
        <v>10</v>
      </c>
      <c r="AA229" s="2">
        <v>1000</v>
      </c>
      <c r="AB229" s="2" t="s">
        <v>49</v>
      </c>
      <c r="AC229" s="2" t="s">
        <v>50</v>
      </c>
      <c r="AD229" s="2">
        <v>1</v>
      </c>
      <c r="AE229" s="2">
        <v>0.10199999999999999</v>
      </c>
      <c r="AF229" s="2">
        <v>0.35799999999999998</v>
      </c>
      <c r="AG229" s="2">
        <v>-365</v>
      </c>
      <c r="AH229" s="2">
        <v>-2</v>
      </c>
      <c r="AI229" s="2">
        <v>0.23</v>
      </c>
      <c r="AJ229" s="2">
        <v>0.379</v>
      </c>
      <c r="AK229" s="2">
        <v>-1080</v>
      </c>
      <c r="AL229" s="2">
        <v>30</v>
      </c>
      <c r="AM229" s="2" t="s">
        <v>44</v>
      </c>
      <c r="AN229" s="2">
        <v>5.2</v>
      </c>
      <c r="AO229" t="s">
        <v>105</v>
      </c>
      <c r="AP229">
        <v>1</v>
      </c>
      <c r="AQ229">
        <v>203</v>
      </c>
    </row>
    <row r="230" spans="1:43" x14ac:dyDescent="0.2">
      <c r="A230" s="2" t="s">
        <v>122</v>
      </c>
      <c r="B230" s="2" t="s">
        <v>123</v>
      </c>
      <c r="C230" s="2">
        <v>160.26</v>
      </c>
      <c r="D230" s="2" t="s">
        <v>44</v>
      </c>
      <c r="E230" s="2"/>
      <c r="F230" s="2"/>
      <c r="G230" s="2" t="s">
        <v>44</v>
      </c>
      <c r="H230" s="2">
        <v>2</v>
      </c>
      <c r="I230" s="2" t="s">
        <v>45</v>
      </c>
      <c r="J230" s="2" t="s">
        <v>46</v>
      </c>
      <c r="K230" s="2">
        <v>265.5</v>
      </c>
      <c r="L230" s="2">
        <v>0.1</v>
      </c>
      <c r="M230" s="2" t="s">
        <v>47</v>
      </c>
      <c r="N230" s="2" t="s">
        <v>44</v>
      </c>
      <c r="O230" s="2" t="s">
        <v>44</v>
      </c>
      <c r="P230" s="2" t="s">
        <v>44</v>
      </c>
      <c r="Q230" s="2" t="s">
        <v>44</v>
      </c>
      <c r="R230" s="2">
        <v>2.1</v>
      </c>
      <c r="S230" s="3">
        <f t="shared" si="3"/>
        <v>33.130000000000003</v>
      </c>
      <c r="T230" s="2" t="s">
        <v>44</v>
      </c>
      <c r="U230" s="2" t="s">
        <v>44</v>
      </c>
      <c r="V230" s="2" t="s">
        <v>48</v>
      </c>
      <c r="W230" s="2" t="s">
        <v>44</v>
      </c>
      <c r="X230" s="2">
        <v>30</v>
      </c>
      <c r="Y230" s="2">
        <v>22</v>
      </c>
      <c r="Z230" s="2">
        <v>7</v>
      </c>
      <c r="AA230" s="2">
        <v>2000</v>
      </c>
      <c r="AB230" s="2" t="s">
        <v>69</v>
      </c>
      <c r="AC230" s="2" t="s">
        <v>50</v>
      </c>
      <c r="AD230" s="2">
        <v>2</v>
      </c>
      <c r="AE230" s="2">
        <v>7.1999999999999995E-2</v>
      </c>
      <c r="AF230" s="2">
        <v>0.42799999999999999</v>
      </c>
      <c r="AG230" s="2">
        <v>-1830</v>
      </c>
      <c r="AH230" s="2">
        <v>-2</v>
      </c>
      <c r="AI230" s="2">
        <v>0.23</v>
      </c>
      <c r="AJ230" s="2">
        <v>0.379</v>
      </c>
      <c r="AK230" s="2">
        <v>-1080</v>
      </c>
      <c r="AL230" s="2">
        <v>30</v>
      </c>
      <c r="AM230" s="2" t="s">
        <v>44</v>
      </c>
      <c r="AN230" s="2">
        <v>5.2</v>
      </c>
      <c r="AO230" t="s">
        <v>124</v>
      </c>
      <c r="AP230">
        <v>1</v>
      </c>
      <c r="AQ230">
        <v>204</v>
      </c>
    </row>
    <row r="231" spans="1:43" x14ac:dyDescent="0.2">
      <c r="A231" s="2" t="s">
        <v>42</v>
      </c>
      <c r="B231" s="2" t="s">
        <v>43</v>
      </c>
      <c r="C231" s="2">
        <v>86.14</v>
      </c>
      <c r="D231" s="2" t="s">
        <v>71</v>
      </c>
      <c r="E231" s="2" t="s">
        <v>72</v>
      </c>
      <c r="F231" s="2">
        <v>101.19</v>
      </c>
      <c r="G231" s="2">
        <v>5</v>
      </c>
      <c r="H231" s="2">
        <v>2</v>
      </c>
      <c r="I231" s="2" t="s">
        <v>45</v>
      </c>
      <c r="J231" s="2" t="s">
        <v>46</v>
      </c>
      <c r="K231" s="2">
        <v>265.5</v>
      </c>
      <c r="L231" s="2">
        <v>0.45600000000000002</v>
      </c>
      <c r="M231" s="2" t="s">
        <v>47</v>
      </c>
      <c r="N231" s="2" t="s">
        <v>44</v>
      </c>
      <c r="O231" s="2" t="s">
        <v>44</v>
      </c>
      <c r="P231" s="2" t="s">
        <v>44</v>
      </c>
      <c r="Q231" s="2" t="s">
        <v>44</v>
      </c>
      <c r="R231" s="2">
        <v>2.456</v>
      </c>
      <c r="S231" s="3">
        <f t="shared" si="3"/>
        <v>13.18</v>
      </c>
      <c r="T231" s="2" t="s">
        <v>44</v>
      </c>
      <c r="U231" s="2" t="s">
        <v>129</v>
      </c>
      <c r="V231" s="2" t="s">
        <v>130</v>
      </c>
      <c r="W231" s="2">
        <v>0.38100000000000001</v>
      </c>
      <c r="X231" s="2">
        <v>2</v>
      </c>
      <c r="Y231" s="2">
        <v>70</v>
      </c>
      <c r="Z231" s="2">
        <v>10</v>
      </c>
      <c r="AA231" s="2">
        <v>1000</v>
      </c>
      <c r="AB231" s="2" t="s">
        <v>49</v>
      </c>
      <c r="AC231" s="2" t="s">
        <v>50</v>
      </c>
      <c r="AD231" s="2">
        <v>1</v>
      </c>
      <c r="AE231" s="2">
        <v>0.10199999999999999</v>
      </c>
      <c r="AF231" s="2">
        <v>0.35799999999999998</v>
      </c>
      <c r="AG231" s="2">
        <v>-365</v>
      </c>
      <c r="AH231" s="2">
        <v>-2</v>
      </c>
      <c r="AI231" s="2">
        <v>0.23</v>
      </c>
      <c r="AJ231" s="2">
        <v>0.379</v>
      </c>
      <c r="AK231" s="2">
        <v>-1080</v>
      </c>
      <c r="AL231" s="2">
        <v>120</v>
      </c>
      <c r="AM231" s="2" t="s">
        <v>44</v>
      </c>
      <c r="AN231" s="2">
        <v>5.2</v>
      </c>
      <c r="AO231" t="s">
        <v>107</v>
      </c>
      <c r="AP231">
        <v>1</v>
      </c>
      <c r="AQ231">
        <v>206</v>
      </c>
    </row>
    <row r="232" spans="1:43" x14ac:dyDescent="0.2">
      <c r="A232" s="2" t="s">
        <v>42</v>
      </c>
      <c r="B232" s="2" t="s">
        <v>43</v>
      </c>
      <c r="C232" s="2">
        <v>86.14</v>
      </c>
      <c r="D232" s="2" t="s">
        <v>71</v>
      </c>
      <c r="E232" s="2" t="s">
        <v>72</v>
      </c>
      <c r="F232" s="2">
        <v>101.19</v>
      </c>
      <c r="G232" s="2">
        <v>5</v>
      </c>
      <c r="H232" s="2">
        <v>2</v>
      </c>
      <c r="I232" s="2" t="s">
        <v>45</v>
      </c>
      <c r="J232" s="2" t="s">
        <v>46</v>
      </c>
      <c r="K232" s="2">
        <v>265.5</v>
      </c>
      <c r="L232" s="2">
        <v>0.45600000000000002</v>
      </c>
      <c r="M232" s="2" t="s">
        <v>47</v>
      </c>
      <c r="N232" s="2" t="s">
        <v>44</v>
      </c>
      <c r="O232" s="2" t="s">
        <v>44</v>
      </c>
      <c r="P232" s="2" t="s">
        <v>44</v>
      </c>
      <c r="Q232" s="2" t="s">
        <v>44</v>
      </c>
      <c r="R232" s="2">
        <v>2.456</v>
      </c>
      <c r="S232" s="3">
        <f t="shared" si="3"/>
        <v>13.18</v>
      </c>
      <c r="T232" s="2" t="s">
        <v>44</v>
      </c>
      <c r="U232" s="2" t="s">
        <v>131</v>
      </c>
      <c r="V232" s="2" t="s">
        <v>132</v>
      </c>
      <c r="W232" s="2">
        <v>0.153</v>
      </c>
      <c r="X232" s="2">
        <v>2</v>
      </c>
      <c r="Y232" s="2">
        <v>70</v>
      </c>
      <c r="Z232" s="2">
        <v>10</v>
      </c>
      <c r="AA232" s="2">
        <v>1000</v>
      </c>
      <c r="AB232" s="2" t="s">
        <v>49</v>
      </c>
      <c r="AC232" s="2" t="s">
        <v>50</v>
      </c>
      <c r="AD232" s="2">
        <v>1</v>
      </c>
      <c r="AE232" s="2">
        <v>0.10199999999999999</v>
      </c>
      <c r="AF232" s="2">
        <v>0.35799999999999998</v>
      </c>
      <c r="AG232" s="2">
        <v>-365</v>
      </c>
      <c r="AH232" s="2">
        <v>-2</v>
      </c>
      <c r="AI232" s="2">
        <v>0.23</v>
      </c>
      <c r="AJ232" s="2">
        <v>0.379</v>
      </c>
      <c r="AK232" s="2">
        <v>-1080</v>
      </c>
      <c r="AL232" s="2">
        <v>120</v>
      </c>
      <c r="AM232" s="2" t="s">
        <v>44</v>
      </c>
      <c r="AN232" s="2">
        <v>5.2</v>
      </c>
      <c r="AO232" t="s">
        <v>107</v>
      </c>
      <c r="AP232">
        <v>1</v>
      </c>
      <c r="AQ232">
        <v>207</v>
      </c>
    </row>
    <row r="233" spans="1:43" x14ac:dyDescent="0.2">
      <c r="A233" s="12" t="s">
        <v>108</v>
      </c>
      <c r="B233" s="12" t="s">
        <v>109</v>
      </c>
      <c r="C233" s="12">
        <v>142.24</v>
      </c>
      <c r="D233" s="12" t="s">
        <v>44</v>
      </c>
      <c r="E233" s="12"/>
      <c r="F233" s="12"/>
      <c r="G233" s="12" t="s">
        <v>44</v>
      </c>
      <c r="H233" s="12">
        <v>2</v>
      </c>
      <c r="I233" s="12" t="s">
        <v>45</v>
      </c>
      <c r="J233" s="12" t="s">
        <v>46</v>
      </c>
      <c r="K233" s="12">
        <v>265.5</v>
      </c>
      <c r="L233" s="12">
        <v>0.25</v>
      </c>
      <c r="M233" s="12" t="s">
        <v>47</v>
      </c>
      <c r="N233" s="12" t="s">
        <v>44</v>
      </c>
      <c r="O233" s="12" t="s">
        <v>44</v>
      </c>
      <c r="P233" s="12" t="s">
        <v>44</v>
      </c>
      <c r="Q233" s="12" t="s">
        <v>44</v>
      </c>
      <c r="R233" s="12">
        <v>2.25</v>
      </c>
      <c r="S233" s="13">
        <f t="shared" si="3"/>
        <v>14.93</v>
      </c>
      <c r="T233" s="12" t="s">
        <v>44</v>
      </c>
      <c r="U233" s="12" t="s">
        <v>44</v>
      </c>
      <c r="V233" s="12" t="s">
        <v>48</v>
      </c>
      <c r="W233" s="12" t="s">
        <v>44</v>
      </c>
      <c r="X233" s="12">
        <v>3</v>
      </c>
      <c r="Y233" s="12">
        <v>65</v>
      </c>
      <c r="Z233" s="12">
        <v>10</v>
      </c>
      <c r="AA233" s="12">
        <v>2000</v>
      </c>
      <c r="AB233" s="12" t="s">
        <v>49</v>
      </c>
      <c r="AC233" s="12" t="s">
        <v>52</v>
      </c>
      <c r="AD233" s="12">
        <v>1</v>
      </c>
      <c r="AE233" s="12">
        <v>0.10199999999999999</v>
      </c>
      <c r="AF233" s="12">
        <v>0.35799999999999998</v>
      </c>
      <c r="AG233" s="12">
        <v>-365</v>
      </c>
      <c r="AH233" s="12">
        <v>-1</v>
      </c>
      <c r="AI233" s="12">
        <v>0.18099999999999999</v>
      </c>
      <c r="AJ233" s="12">
        <v>0.33200000000000002</v>
      </c>
      <c r="AK233" s="12">
        <v>-340</v>
      </c>
      <c r="AL233" s="12">
        <v>60</v>
      </c>
      <c r="AM233" s="12" t="s">
        <v>44</v>
      </c>
      <c r="AN233" s="12">
        <v>5.3</v>
      </c>
      <c r="AO233" t="s">
        <v>110</v>
      </c>
      <c r="AP233">
        <v>1</v>
      </c>
      <c r="AQ233">
        <v>192</v>
      </c>
    </row>
    <row r="234" spans="1:43" x14ac:dyDescent="0.2">
      <c r="A234" s="12" t="s">
        <v>108</v>
      </c>
      <c r="B234" s="12" t="s">
        <v>109</v>
      </c>
      <c r="C234" s="12">
        <v>142.24</v>
      </c>
      <c r="D234" s="12" t="s">
        <v>44</v>
      </c>
      <c r="E234" s="12"/>
      <c r="F234" s="12"/>
      <c r="G234" s="12" t="s">
        <v>44</v>
      </c>
      <c r="H234" s="12">
        <v>2</v>
      </c>
      <c r="I234" s="12" t="s">
        <v>45</v>
      </c>
      <c r="J234" s="12" t="s">
        <v>46</v>
      </c>
      <c r="K234" s="12">
        <v>265.5</v>
      </c>
      <c r="L234" s="12">
        <v>0.35</v>
      </c>
      <c r="M234" s="12" t="s">
        <v>47</v>
      </c>
      <c r="N234" s="12" t="s">
        <v>44</v>
      </c>
      <c r="O234" s="12" t="s">
        <v>44</v>
      </c>
      <c r="P234" s="12" t="s">
        <v>44</v>
      </c>
      <c r="Q234" s="12" t="s">
        <v>44</v>
      </c>
      <c r="R234" s="12">
        <v>2.35</v>
      </c>
      <c r="S234" s="13">
        <f t="shared" si="3"/>
        <v>10.67</v>
      </c>
      <c r="T234" s="12" t="s">
        <v>44</v>
      </c>
      <c r="U234" s="12" t="s">
        <v>44</v>
      </c>
      <c r="V234" s="12" t="s">
        <v>48</v>
      </c>
      <c r="W234" s="12" t="s">
        <v>44</v>
      </c>
      <c r="X234" s="12">
        <v>3</v>
      </c>
      <c r="Y234" s="12">
        <v>65</v>
      </c>
      <c r="Z234" s="12">
        <v>10</v>
      </c>
      <c r="AA234" s="12">
        <v>2000</v>
      </c>
      <c r="AB234" s="12" t="s">
        <v>49</v>
      </c>
      <c r="AC234" s="12" t="s">
        <v>52</v>
      </c>
      <c r="AD234" s="12">
        <v>1</v>
      </c>
      <c r="AE234" s="12">
        <v>0.10199999999999999</v>
      </c>
      <c r="AF234" s="12">
        <v>0.35799999999999998</v>
      </c>
      <c r="AG234" s="12">
        <v>-365</v>
      </c>
      <c r="AH234" s="12">
        <v>-1</v>
      </c>
      <c r="AI234" s="12">
        <v>0.18099999999999999</v>
      </c>
      <c r="AJ234" s="12">
        <v>0.33200000000000002</v>
      </c>
      <c r="AK234" s="12">
        <v>-340</v>
      </c>
      <c r="AL234" s="12">
        <v>90</v>
      </c>
      <c r="AM234" s="12" t="s">
        <v>44</v>
      </c>
      <c r="AN234" s="12">
        <v>5.3</v>
      </c>
      <c r="AO234" t="s">
        <v>110</v>
      </c>
      <c r="AP234">
        <v>1</v>
      </c>
      <c r="AQ234">
        <v>193</v>
      </c>
    </row>
    <row r="235" spans="1:43" x14ac:dyDescent="0.2">
      <c r="A235" s="12" t="s">
        <v>42</v>
      </c>
      <c r="B235" s="12" t="s">
        <v>43</v>
      </c>
      <c r="C235" s="12">
        <v>86.14</v>
      </c>
      <c r="D235" s="12" t="s">
        <v>44</v>
      </c>
      <c r="E235" s="12"/>
      <c r="F235" s="12"/>
      <c r="G235" s="12" t="s">
        <v>44</v>
      </c>
      <c r="H235" s="12">
        <v>1.5</v>
      </c>
      <c r="I235" s="12" t="s">
        <v>45</v>
      </c>
      <c r="J235" s="12" t="s">
        <v>46</v>
      </c>
      <c r="K235" s="12">
        <v>265.5</v>
      </c>
      <c r="L235" s="12">
        <v>0.15</v>
      </c>
      <c r="M235" s="12" t="s">
        <v>47</v>
      </c>
      <c r="N235" s="12" t="s">
        <v>44</v>
      </c>
      <c r="O235" s="12" t="s">
        <v>44</v>
      </c>
      <c r="P235" s="12" t="s">
        <v>44</v>
      </c>
      <c r="Q235" s="12" t="s">
        <v>44</v>
      </c>
      <c r="R235" s="12">
        <v>1.65</v>
      </c>
      <c r="S235" s="13">
        <f t="shared" si="3"/>
        <v>30.82</v>
      </c>
      <c r="T235" s="12" t="s">
        <v>44</v>
      </c>
      <c r="U235" s="12" t="s">
        <v>44</v>
      </c>
      <c r="V235" s="12" t="s">
        <v>48</v>
      </c>
      <c r="W235" s="12" t="s">
        <v>44</v>
      </c>
      <c r="X235" s="12">
        <v>8</v>
      </c>
      <c r="Y235" s="12">
        <v>70</v>
      </c>
      <c r="Z235" s="12">
        <v>6</v>
      </c>
      <c r="AA235" s="12">
        <v>2000</v>
      </c>
      <c r="AB235" s="12" t="s">
        <v>49</v>
      </c>
      <c r="AC235" s="12" t="s">
        <v>50</v>
      </c>
      <c r="AD235" s="12">
        <v>1</v>
      </c>
      <c r="AE235" s="12">
        <v>0.10199999999999999</v>
      </c>
      <c r="AF235" s="12">
        <v>0.35799999999999998</v>
      </c>
      <c r="AG235" s="12">
        <v>-365</v>
      </c>
      <c r="AH235" s="12">
        <v>-2</v>
      </c>
      <c r="AI235" s="12">
        <v>0.23</v>
      </c>
      <c r="AJ235" s="12">
        <v>0.379</v>
      </c>
      <c r="AK235" s="12">
        <v>-1080</v>
      </c>
      <c r="AL235" s="12">
        <v>60</v>
      </c>
      <c r="AM235" s="12" t="s">
        <v>44</v>
      </c>
      <c r="AN235" s="12">
        <v>5.3</v>
      </c>
      <c r="AO235" t="s">
        <v>100</v>
      </c>
      <c r="AP235">
        <v>1</v>
      </c>
      <c r="AQ235">
        <v>194</v>
      </c>
    </row>
    <row r="236" spans="1:43" x14ac:dyDescent="0.2">
      <c r="A236" s="12" t="s">
        <v>42</v>
      </c>
      <c r="B236" s="12" t="s">
        <v>43</v>
      </c>
      <c r="C236" s="12">
        <v>86.14</v>
      </c>
      <c r="D236" s="12" t="s">
        <v>44</v>
      </c>
      <c r="E236" s="12"/>
      <c r="F236" s="12"/>
      <c r="G236" s="12" t="s">
        <v>44</v>
      </c>
      <c r="H236" s="12">
        <v>1.5</v>
      </c>
      <c r="I236" s="12" t="s">
        <v>45</v>
      </c>
      <c r="J236" s="12" t="s">
        <v>46</v>
      </c>
      <c r="K236" s="12">
        <v>265.5</v>
      </c>
      <c r="L236" s="12">
        <v>0.15</v>
      </c>
      <c r="M236" s="12" t="s">
        <v>47</v>
      </c>
      <c r="N236" s="12" t="s">
        <v>44</v>
      </c>
      <c r="O236" s="12" t="s">
        <v>44</v>
      </c>
      <c r="P236" s="12" t="s">
        <v>44</v>
      </c>
      <c r="Q236" s="12" t="s">
        <v>44</v>
      </c>
      <c r="R236" s="12">
        <v>1.65</v>
      </c>
      <c r="S236" s="13">
        <f t="shared" si="3"/>
        <v>30.82</v>
      </c>
      <c r="T236" s="12" t="s">
        <v>44</v>
      </c>
      <c r="U236" s="12" t="s">
        <v>44</v>
      </c>
      <c r="V236" s="12" t="s">
        <v>48</v>
      </c>
      <c r="W236" s="12" t="s">
        <v>44</v>
      </c>
      <c r="X236" s="12">
        <v>8</v>
      </c>
      <c r="Y236" s="12">
        <v>70</v>
      </c>
      <c r="Z236" s="12">
        <v>6</v>
      </c>
      <c r="AA236" s="12">
        <v>2000</v>
      </c>
      <c r="AB236" s="12" t="s">
        <v>49</v>
      </c>
      <c r="AC236" s="12" t="s">
        <v>50</v>
      </c>
      <c r="AD236" s="12">
        <v>1</v>
      </c>
      <c r="AE236" s="12">
        <v>0.10199999999999999</v>
      </c>
      <c r="AF236" s="12">
        <v>0.35799999999999998</v>
      </c>
      <c r="AG236" s="12">
        <v>-365</v>
      </c>
      <c r="AH236" s="12">
        <v>-2</v>
      </c>
      <c r="AI236" s="12">
        <v>0.23</v>
      </c>
      <c r="AJ236" s="12">
        <v>0.379</v>
      </c>
      <c r="AK236" s="12">
        <v>-1080</v>
      </c>
      <c r="AL236" s="12">
        <v>60</v>
      </c>
      <c r="AM236" s="12" t="s">
        <v>44</v>
      </c>
      <c r="AN236" s="12">
        <v>5.3</v>
      </c>
      <c r="AO236" t="s">
        <v>100</v>
      </c>
      <c r="AP236">
        <v>1</v>
      </c>
      <c r="AQ236">
        <v>195</v>
      </c>
    </row>
    <row r="237" spans="1:43" x14ac:dyDescent="0.2">
      <c r="A237" s="12" t="s">
        <v>42</v>
      </c>
      <c r="B237" s="12" t="s">
        <v>43</v>
      </c>
      <c r="C237" s="12">
        <v>86.14</v>
      </c>
      <c r="D237" s="12" t="s">
        <v>44</v>
      </c>
      <c r="E237" s="12"/>
      <c r="F237" s="12"/>
      <c r="G237" s="12" t="s">
        <v>44</v>
      </c>
      <c r="H237" s="12">
        <v>0.35</v>
      </c>
      <c r="I237" s="12" t="s">
        <v>45</v>
      </c>
      <c r="J237" s="12" t="s">
        <v>46</v>
      </c>
      <c r="K237" s="12">
        <v>265.5</v>
      </c>
      <c r="L237" s="12">
        <v>0.3</v>
      </c>
      <c r="M237" s="12" t="s">
        <v>47</v>
      </c>
      <c r="N237" s="12" t="s">
        <v>44</v>
      </c>
      <c r="O237" s="12" t="s">
        <v>44</v>
      </c>
      <c r="P237" s="12" t="s">
        <v>44</v>
      </c>
      <c r="Q237" s="12" t="s">
        <v>44</v>
      </c>
      <c r="R237" s="12">
        <v>0.65</v>
      </c>
      <c r="S237" s="13">
        <f t="shared" si="3"/>
        <v>3.6</v>
      </c>
      <c r="T237" s="12" t="s">
        <v>44</v>
      </c>
      <c r="U237" s="12" t="s">
        <v>44</v>
      </c>
      <c r="V237" s="12" t="s">
        <v>48</v>
      </c>
      <c r="W237" s="12" t="s">
        <v>44</v>
      </c>
      <c r="X237" s="12">
        <v>10</v>
      </c>
      <c r="Y237" s="12">
        <v>70</v>
      </c>
      <c r="Z237" s="12">
        <v>4</v>
      </c>
      <c r="AA237" s="12">
        <v>1000</v>
      </c>
      <c r="AB237" s="12" t="s">
        <v>49</v>
      </c>
      <c r="AC237" s="12" t="s">
        <v>50</v>
      </c>
      <c r="AD237" s="12">
        <v>1</v>
      </c>
      <c r="AE237" s="12">
        <v>0.10199999999999999</v>
      </c>
      <c r="AF237" s="12">
        <v>0.35799999999999998</v>
      </c>
      <c r="AG237" s="12">
        <v>-365</v>
      </c>
      <c r="AH237" s="12">
        <v>-2</v>
      </c>
      <c r="AI237" s="12">
        <v>0.23</v>
      </c>
      <c r="AJ237" s="12">
        <v>0.379</v>
      </c>
      <c r="AK237" s="12">
        <v>-1080</v>
      </c>
      <c r="AL237" s="12">
        <v>60</v>
      </c>
      <c r="AM237" s="12" t="s">
        <v>44</v>
      </c>
      <c r="AN237" s="12">
        <v>5.3</v>
      </c>
      <c r="AO237" t="s">
        <v>128</v>
      </c>
      <c r="AP237">
        <v>1</v>
      </c>
      <c r="AQ237">
        <v>198</v>
      </c>
    </row>
    <row r="238" spans="1:43" x14ac:dyDescent="0.2">
      <c r="A238" s="12" t="s">
        <v>77</v>
      </c>
      <c r="B238" s="12" t="s">
        <v>78</v>
      </c>
      <c r="C238" s="12">
        <v>114.19</v>
      </c>
      <c r="D238" s="12" t="s">
        <v>44</v>
      </c>
      <c r="E238" s="12"/>
      <c r="F238" s="12"/>
      <c r="G238" s="12" t="s">
        <v>44</v>
      </c>
      <c r="H238" s="12">
        <v>2</v>
      </c>
      <c r="I238" s="12" t="s">
        <v>45</v>
      </c>
      <c r="J238" s="12" t="s">
        <v>46</v>
      </c>
      <c r="K238" s="12">
        <v>265.5</v>
      </c>
      <c r="L238" s="12">
        <v>0.25</v>
      </c>
      <c r="M238" s="12" t="s">
        <v>47</v>
      </c>
      <c r="N238" s="12" t="s">
        <v>44</v>
      </c>
      <c r="O238" s="12" t="s">
        <v>44</v>
      </c>
      <c r="P238" s="12" t="s">
        <v>44</v>
      </c>
      <c r="Q238" s="12" t="s">
        <v>44</v>
      </c>
      <c r="R238" s="12">
        <v>2.25</v>
      </c>
      <c r="S238" s="13">
        <f t="shared" si="3"/>
        <v>18.600000000000001</v>
      </c>
      <c r="T238" s="12" t="s">
        <v>44</v>
      </c>
      <c r="U238" s="12" t="s">
        <v>44</v>
      </c>
      <c r="V238" s="12" t="s">
        <v>48</v>
      </c>
      <c r="W238" s="12" t="s">
        <v>44</v>
      </c>
      <c r="X238" s="12">
        <v>5</v>
      </c>
      <c r="Y238" s="12">
        <v>80</v>
      </c>
      <c r="Z238" s="12">
        <v>6</v>
      </c>
      <c r="AA238" s="12">
        <v>2000</v>
      </c>
      <c r="AB238" s="12" t="s">
        <v>49</v>
      </c>
      <c r="AC238" s="12" t="s">
        <v>50</v>
      </c>
      <c r="AD238" s="12">
        <v>1</v>
      </c>
      <c r="AE238" s="12">
        <v>0.10199999999999999</v>
      </c>
      <c r="AF238" s="12">
        <v>0.35799999999999998</v>
      </c>
      <c r="AG238" s="12">
        <v>-365</v>
      </c>
      <c r="AH238" s="12">
        <v>-2</v>
      </c>
      <c r="AI238" s="12">
        <v>0.23</v>
      </c>
      <c r="AJ238" s="12">
        <v>0.379</v>
      </c>
      <c r="AK238" s="12">
        <v>-1080</v>
      </c>
      <c r="AL238" s="12">
        <v>15</v>
      </c>
      <c r="AM238" s="12" t="s">
        <v>44</v>
      </c>
      <c r="AN238" s="12">
        <v>5.3</v>
      </c>
      <c r="AO238" t="s">
        <v>80</v>
      </c>
      <c r="AP238">
        <v>1</v>
      </c>
      <c r="AQ238">
        <v>199</v>
      </c>
    </row>
    <row r="239" spans="1:43" x14ac:dyDescent="0.2">
      <c r="A239" s="12" t="s">
        <v>77</v>
      </c>
      <c r="B239" s="12" t="s">
        <v>78</v>
      </c>
      <c r="C239" s="12">
        <v>114.19</v>
      </c>
      <c r="D239" s="12" t="s">
        <v>44</v>
      </c>
      <c r="E239" s="12"/>
      <c r="F239" s="12"/>
      <c r="G239" s="12" t="s">
        <v>44</v>
      </c>
      <c r="H239" s="12">
        <v>2</v>
      </c>
      <c r="I239" s="12" t="s">
        <v>45</v>
      </c>
      <c r="J239" s="12" t="s">
        <v>46</v>
      </c>
      <c r="K239" s="12">
        <v>265.5</v>
      </c>
      <c r="L239" s="12">
        <v>0.25</v>
      </c>
      <c r="M239" s="12" t="s">
        <v>47</v>
      </c>
      <c r="N239" s="12" t="s">
        <v>44</v>
      </c>
      <c r="O239" s="12" t="s">
        <v>44</v>
      </c>
      <c r="P239" s="12" t="s">
        <v>44</v>
      </c>
      <c r="Q239" s="12" t="s">
        <v>44</v>
      </c>
      <c r="R239" s="12">
        <v>2.25</v>
      </c>
      <c r="S239" s="13">
        <f t="shared" si="3"/>
        <v>18.600000000000001</v>
      </c>
      <c r="T239" s="12" t="s">
        <v>44</v>
      </c>
      <c r="U239" s="12" t="s">
        <v>44</v>
      </c>
      <c r="V239" s="12" t="s">
        <v>48</v>
      </c>
      <c r="W239" s="12" t="s">
        <v>44</v>
      </c>
      <c r="X239" s="12">
        <v>5</v>
      </c>
      <c r="Y239" s="12">
        <v>80</v>
      </c>
      <c r="Z239" s="12">
        <v>6</v>
      </c>
      <c r="AA239" s="12">
        <v>2000</v>
      </c>
      <c r="AB239" s="12" t="s">
        <v>49</v>
      </c>
      <c r="AC239" s="12" t="s">
        <v>50</v>
      </c>
      <c r="AD239" s="12">
        <v>1</v>
      </c>
      <c r="AE239" s="12">
        <v>0.10199999999999999</v>
      </c>
      <c r="AF239" s="12">
        <v>0.35799999999999998</v>
      </c>
      <c r="AG239" s="12">
        <v>-365</v>
      </c>
      <c r="AH239" s="12">
        <v>-2</v>
      </c>
      <c r="AI239" s="12">
        <v>0.23</v>
      </c>
      <c r="AJ239" s="12">
        <v>0.379</v>
      </c>
      <c r="AK239" s="12">
        <v>-1080</v>
      </c>
      <c r="AL239" s="12">
        <v>15</v>
      </c>
      <c r="AM239" s="12" t="s">
        <v>44</v>
      </c>
      <c r="AN239" s="12">
        <v>5.3</v>
      </c>
      <c r="AO239" t="s">
        <v>80</v>
      </c>
      <c r="AP239">
        <v>1</v>
      </c>
      <c r="AQ239">
        <v>200</v>
      </c>
    </row>
    <row r="240" spans="1:43" x14ac:dyDescent="0.2">
      <c r="A240" s="12" t="s">
        <v>77</v>
      </c>
      <c r="B240" s="12" t="s">
        <v>78</v>
      </c>
      <c r="C240" s="12">
        <v>114.19</v>
      </c>
      <c r="D240" s="12" t="s">
        <v>44</v>
      </c>
      <c r="E240" s="12"/>
      <c r="F240" s="12"/>
      <c r="G240" s="12" t="s">
        <v>44</v>
      </c>
      <c r="H240" s="12">
        <v>2</v>
      </c>
      <c r="I240" s="12" t="s">
        <v>45</v>
      </c>
      <c r="J240" s="12" t="s">
        <v>46</v>
      </c>
      <c r="K240" s="12">
        <v>265.5</v>
      </c>
      <c r="L240" s="12">
        <v>0.25</v>
      </c>
      <c r="M240" s="12" t="s">
        <v>47</v>
      </c>
      <c r="N240" s="12" t="s">
        <v>44</v>
      </c>
      <c r="O240" s="12" t="s">
        <v>44</v>
      </c>
      <c r="P240" s="12" t="s">
        <v>44</v>
      </c>
      <c r="Q240" s="12" t="s">
        <v>44</v>
      </c>
      <c r="R240" s="12">
        <v>2.25</v>
      </c>
      <c r="S240" s="13">
        <f t="shared" si="3"/>
        <v>18.600000000000001</v>
      </c>
      <c r="T240" s="12" t="s">
        <v>44</v>
      </c>
      <c r="U240" s="12" t="s">
        <v>44</v>
      </c>
      <c r="V240" s="12" t="s">
        <v>48</v>
      </c>
      <c r="W240" s="12" t="s">
        <v>44</v>
      </c>
      <c r="X240" s="12">
        <v>5</v>
      </c>
      <c r="Y240" s="12">
        <v>80</v>
      </c>
      <c r="Z240" s="12">
        <v>6</v>
      </c>
      <c r="AA240" s="12">
        <v>2000</v>
      </c>
      <c r="AB240" s="12" t="s">
        <v>49</v>
      </c>
      <c r="AC240" s="12" t="s">
        <v>50</v>
      </c>
      <c r="AD240" s="12">
        <v>1</v>
      </c>
      <c r="AE240" s="12">
        <v>0.10199999999999999</v>
      </c>
      <c r="AF240" s="12">
        <v>0.35799999999999998</v>
      </c>
      <c r="AG240" s="12">
        <v>-365</v>
      </c>
      <c r="AH240" s="12">
        <v>-2</v>
      </c>
      <c r="AI240" s="12">
        <v>0.23</v>
      </c>
      <c r="AJ240" s="12">
        <v>0.379</v>
      </c>
      <c r="AK240" s="12">
        <v>-1080</v>
      </c>
      <c r="AL240" s="12">
        <v>15</v>
      </c>
      <c r="AM240" s="12" t="s">
        <v>44</v>
      </c>
      <c r="AN240" s="12">
        <v>5.3</v>
      </c>
      <c r="AO240" t="s">
        <v>80</v>
      </c>
      <c r="AP240">
        <v>1</v>
      </c>
      <c r="AQ240">
        <v>201</v>
      </c>
    </row>
    <row r="241" spans="1:43" x14ac:dyDescent="0.2">
      <c r="A241" s="12" t="s">
        <v>77</v>
      </c>
      <c r="B241" s="12" t="s">
        <v>78</v>
      </c>
      <c r="C241" s="12">
        <v>114.19</v>
      </c>
      <c r="D241" s="12" t="s">
        <v>44</v>
      </c>
      <c r="E241" s="12"/>
      <c r="F241" s="12"/>
      <c r="G241" s="12" t="s">
        <v>44</v>
      </c>
      <c r="H241" s="12">
        <v>2</v>
      </c>
      <c r="I241" s="12" t="s">
        <v>45</v>
      </c>
      <c r="J241" s="12" t="s">
        <v>46</v>
      </c>
      <c r="K241" s="12">
        <v>265.5</v>
      </c>
      <c r="L241" s="12">
        <v>0.25</v>
      </c>
      <c r="M241" s="12" t="s">
        <v>47</v>
      </c>
      <c r="N241" s="12" t="s">
        <v>79</v>
      </c>
      <c r="O241" s="12">
        <v>0</v>
      </c>
      <c r="P241" s="12" t="s">
        <v>44</v>
      </c>
      <c r="Q241" s="12" t="s">
        <v>44</v>
      </c>
      <c r="R241" s="12">
        <v>2.25</v>
      </c>
      <c r="S241" s="13">
        <f t="shared" si="3"/>
        <v>18.600000000000001</v>
      </c>
      <c r="T241" s="12" t="s">
        <v>44</v>
      </c>
      <c r="U241" s="12" t="s">
        <v>44</v>
      </c>
      <c r="V241" s="12" t="s">
        <v>48</v>
      </c>
      <c r="W241" s="12" t="s">
        <v>44</v>
      </c>
      <c r="X241" s="12">
        <v>5</v>
      </c>
      <c r="Y241" s="12">
        <v>80</v>
      </c>
      <c r="Z241" s="12">
        <v>6</v>
      </c>
      <c r="AA241" s="12">
        <v>2000</v>
      </c>
      <c r="AB241" s="12" t="s">
        <v>49</v>
      </c>
      <c r="AC241" s="12" t="s">
        <v>50</v>
      </c>
      <c r="AD241" s="12">
        <v>1</v>
      </c>
      <c r="AE241" s="12">
        <v>0.10199999999999999</v>
      </c>
      <c r="AF241" s="12">
        <v>0.35799999999999998</v>
      </c>
      <c r="AG241" s="12">
        <v>-365</v>
      </c>
      <c r="AH241" s="12">
        <v>-2</v>
      </c>
      <c r="AI241" s="12">
        <v>0.23</v>
      </c>
      <c r="AJ241" s="12">
        <v>0.379</v>
      </c>
      <c r="AK241" s="12">
        <v>-1080</v>
      </c>
      <c r="AL241" s="12">
        <v>15</v>
      </c>
      <c r="AM241" s="12" t="s">
        <v>44</v>
      </c>
      <c r="AN241" s="12">
        <v>5.3</v>
      </c>
      <c r="AO241" t="s">
        <v>80</v>
      </c>
      <c r="AP241">
        <v>1</v>
      </c>
      <c r="AQ241">
        <v>202</v>
      </c>
    </row>
    <row r="242" spans="1:43" x14ac:dyDescent="0.2">
      <c r="A242" s="12" t="s">
        <v>59</v>
      </c>
      <c r="B242" s="12" t="s">
        <v>60</v>
      </c>
      <c r="C242" s="12">
        <v>43.1</v>
      </c>
      <c r="D242" s="12" t="s">
        <v>42</v>
      </c>
      <c r="E242" s="12" t="s">
        <v>43</v>
      </c>
      <c r="F242" s="12">
        <v>86.14</v>
      </c>
      <c r="G242" s="12">
        <v>9.0000000000000053</v>
      </c>
      <c r="H242" s="12">
        <v>3</v>
      </c>
      <c r="I242" s="12" t="s">
        <v>45</v>
      </c>
      <c r="J242" s="12" t="s">
        <v>46</v>
      </c>
      <c r="K242" s="12">
        <v>265.5</v>
      </c>
      <c r="L242" s="12">
        <v>0.6</v>
      </c>
      <c r="M242" s="12" t="s">
        <v>47</v>
      </c>
      <c r="N242" s="12" t="s">
        <v>44</v>
      </c>
      <c r="O242" s="12" t="s">
        <v>44</v>
      </c>
      <c r="P242" s="12" t="s">
        <v>44</v>
      </c>
      <c r="Q242" s="12" t="s">
        <v>44</v>
      </c>
      <c r="R242" s="12">
        <v>3.6</v>
      </c>
      <c r="S242" s="13">
        <f t="shared" si="3"/>
        <v>29.26</v>
      </c>
      <c r="T242" s="12">
        <v>9.5</v>
      </c>
      <c r="U242" s="12" t="s">
        <v>44</v>
      </c>
      <c r="V242" s="12" t="s">
        <v>48</v>
      </c>
      <c r="W242" s="12" t="s">
        <v>44</v>
      </c>
      <c r="X242" s="12">
        <v>20</v>
      </c>
      <c r="Y242" s="12">
        <v>75</v>
      </c>
      <c r="Z242" s="12">
        <v>8</v>
      </c>
      <c r="AA242" s="12">
        <v>500</v>
      </c>
      <c r="AB242" s="12" t="s">
        <v>69</v>
      </c>
      <c r="AC242" s="12" t="s">
        <v>52</v>
      </c>
      <c r="AD242" s="12">
        <v>2</v>
      </c>
      <c r="AE242" s="12">
        <v>7.1999999999999995E-2</v>
      </c>
      <c r="AF242" s="12">
        <v>0.42799999999999999</v>
      </c>
      <c r="AG242" s="12">
        <v>-1830</v>
      </c>
      <c r="AH242" s="12">
        <v>-1</v>
      </c>
      <c r="AI242" s="12">
        <v>0.18099999999999999</v>
      </c>
      <c r="AJ242" s="12">
        <v>0.33200000000000002</v>
      </c>
      <c r="AK242" s="12">
        <v>-340</v>
      </c>
      <c r="AL242" s="12">
        <v>1800</v>
      </c>
      <c r="AM242" s="12" t="s">
        <v>44</v>
      </c>
      <c r="AN242" s="12">
        <v>5.3</v>
      </c>
      <c r="AO242" t="s">
        <v>143</v>
      </c>
      <c r="AP242">
        <v>1</v>
      </c>
      <c r="AQ242">
        <v>322</v>
      </c>
    </row>
    <row r="243" spans="1:43" x14ac:dyDescent="0.2">
      <c r="A243" s="12" t="s">
        <v>59</v>
      </c>
      <c r="B243" s="12" t="s">
        <v>60</v>
      </c>
      <c r="C243" s="12">
        <v>43.1</v>
      </c>
      <c r="D243" s="12" t="s">
        <v>42</v>
      </c>
      <c r="E243" s="12" t="s">
        <v>43</v>
      </c>
      <c r="F243" s="12">
        <v>86.14</v>
      </c>
      <c r="G243" s="12">
        <v>3.9999999999999991</v>
      </c>
      <c r="H243" s="12">
        <v>3</v>
      </c>
      <c r="I243" s="12" t="s">
        <v>45</v>
      </c>
      <c r="J243" s="12" t="s">
        <v>46</v>
      </c>
      <c r="K243" s="12">
        <v>265.5</v>
      </c>
      <c r="L243" s="12">
        <v>0.6</v>
      </c>
      <c r="M243" s="12" t="s">
        <v>47</v>
      </c>
      <c r="N243" s="12" t="s">
        <v>44</v>
      </c>
      <c r="O243" s="12" t="s">
        <v>44</v>
      </c>
      <c r="P243" s="12" t="s">
        <v>44</v>
      </c>
      <c r="Q243" s="12" t="s">
        <v>44</v>
      </c>
      <c r="R243" s="12">
        <v>3.6</v>
      </c>
      <c r="S243" s="13">
        <f t="shared" si="3"/>
        <v>27.72</v>
      </c>
      <c r="T243" s="12">
        <v>9.5</v>
      </c>
      <c r="U243" s="12" t="s">
        <v>44</v>
      </c>
      <c r="V243" s="12" t="s">
        <v>48</v>
      </c>
      <c r="W243" s="12" t="s">
        <v>44</v>
      </c>
      <c r="X243" s="12">
        <v>20</v>
      </c>
      <c r="Y243" s="12">
        <v>75</v>
      </c>
      <c r="Z243" s="12">
        <v>8</v>
      </c>
      <c r="AA243" s="12">
        <v>500</v>
      </c>
      <c r="AB243" s="12" t="s">
        <v>49</v>
      </c>
      <c r="AC243" s="12" t="s">
        <v>50</v>
      </c>
      <c r="AD243" s="12">
        <v>1</v>
      </c>
      <c r="AE243" s="12">
        <v>0.10199999999999999</v>
      </c>
      <c r="AF243" s="12">
        <v>0.35799999999999998</v>
      </c>
      <c r="AG243" s="12">
        <v>-365</v>
      </c>
      <c r="AH243" s="12">
        <v>-2</v>
      </c>
      <c r="AI243" s="12">
        <v>0.23</v>
      </c>
      <c r="AJ243" s="12">
        <v>0.379</v>
      </c>
      <c r="AK243" s="12">
        <v>-1080</v>
      </c>
      <c r="AL243" s="12">
        <v>1800</v>
      </c>
      <c r="AM243" s="12" t="s">
        <v>44</v>
      </c>
      <c r="AN243" s="12">
        <v>5.3</v>
      </c>
      <c r="AO243" t="s">
        <v>143</v>
      </c>
      <c r="AP243">
        <v>1</v>
      </c>
      <c r="AQ243">
        <v>323</v>
      </c>
    </row>
    <row r="244" spans="1:43" x14ac:dyDescent="0.2">
      <c r="A244" t="s">
        <v>108</v>
      </c>
      <c r="B244" t="s">
        <v>109</v>
      </c>
      <c r="C244">
        <v>142.24</v>
      </c>
      <c r="D244" t="s">
        <v>44</v>
      </c>
      <c r="G244" t="s">
        <v>44</v>
      </c>
      <c r="H244">
        <v>2</v>
      </c>
      <c r="I244" t="s">
        <v>45</v>
      </c>
      <c r="J244" t="s">
        <v>46</v>
      </c>
      <c r="K244">
        <v>265.5</v>
      </c>
      <c r="L244">
        <v>0.2</v>
      </c>
      <c r="M244" t="s">
        <v>47</v>
      </c>
      <c r="N244" t="s">
        <v>44</v>
      </c>
      <c r="O244" t="s">
        <v>44</v>
      </c>
      <c r="P244" t="s">
        <v>44</v>
      </c>
      <c r="Q244" t="s">
        <v>44</v>
      </c>
      <c r="R244">
        <v>2.2000000000000002</v>
      </c>
      <c r="S244" s="5">
        <f t="shared" si="3"/>
        <v>18.670000000000002</v>
      </c>
      <c r="T244" t="s">
        <v>44</v>
      </c>
      <c r="U244" t="s">
        <v>44</v>
      </c>
      <c r="V244" t="s">
        <v>48</v>
      </c>
      <c r="W244" t="s">
        <v>44</v>
      </c>
      <c r="X244">
        <v>3</v>
      </c>
      <c r="Y244">
        <v>65</v>
      </c>
      <c r="Z244">
        <v>10</v>
      </c>
      <c r="AA244">
        <v>2000</v>
      </c>
      <c r="AB244" t="s">
        <v>49</v>
      </c>
      <c r="AC244" t="s">
        <v>52</v>
      </c>
      <c r="AD244">
        <v>1</v>
      </c>
      <c r="AE244">
        <v>0.10199999999999999</v>
      </c>
      <c r="AF244">
        <v>0.35799999999999998</v>
      </c>
      <c r="AG244">
        <v>-365</v>
      </c>
      <c r="AH244">
        <v>-1</v>
      </c>
      <c r="AI244">
        <v>0.18099999999999999</v>
      </c>
      <c r="AJ244">
        <v>0.33200000000000002</v>
      </c>
      <c r="AK244">
        <v>-340</v>
      </c>
      <c r="AL244">
        <v>90</v>
      </c>
      <c r="AM244" t="s">
        <v>44</v>
      </c>
      <c r="AN244">
        <v>5.4</v>
      </c>
      <c r="AO244" t="s">
        <v>110</v>
      </c>
      <c r="AP244">
        <v>1</v>
      </c>
      <c r="AQ244">
        <v>190</v>
      </c>
    </row>
    <row r="245" spans="1:43" x14ac:dyDescent="0.2">
      <c r="A245" t="s">
        <v>42</v>
      </c>
      <c r="B245" t="s">
        <v>43</v>
      </c>
      <c r="C245">
        <v>86.14</v>
      </c>
      <c r="D245" t="s">
        <v>44</v>
      </c>
      <c r="G245" t="s">
        <v>44</v>
      </c>
      <c r="H245">
        <v>0.35</v>
      </c>
      <c r="I245" t="s">
        <v>45</v>
      </c>
      <c r="J245" t="s">
        <v>46</v>
      </c>
      <c r="K245">
        <v>265.5</v>
      </c>
      <c r="L245">
        <v>0.3</v>
      </c>
      <c r="M245" t="s">
        <v>47</v>
      </c>
      <c r="N245" t="s">
        <v>44</v>
      </c>
      <c r="O245" t="s">
        <v>44</v>
      </c>
      <c r="P245" t="s">
        <v>44</v>
      </c>
      <c r="Q245" t="s">
        <v>44</v>
      </c>
      <c r="R245">
        <v>0.65</v>
      </c>
      <c r="S245" s="5">
        <f t="shared" si="3"/>
        <v>3.6</v>
      </c>
      <c r="T245" t="s">
        <v>44</v>
      </c>
      <c r="U245" t="s">
        <v>44</v>
      </c>
      <c r="V245" t="s">
        <v>48</v>
      </c>
      <c r="W245" t="s">
        <v>44</v>
      </c>
      <c r="X245">
        <v>20</v>
      </c>
      <c r="Y245">
        <v>50</v>
      </c>
      <c r="Z245">
        <v>6</v>
      </c>
      <c r="AA245">
        <v>3000</v>
      </c>
      <c r="AB245" t="s">
        <v>49</v>
      </c>
      <c r="AC245" t="s">
        <v>52</v>
      </c>
      <c r="AD245">
        <v>1</v>
      </c>
      <c r="AE245">
        <v>0.10199999999999999</v>
      </c>
      <c r="AF245">
        <v>0.35799999999999998</v>
      </c>
      <c r="AG245">
        <v>-365</v>
      </c>
      <c r="AH245">
        <v>-1</v>
      </c>
      <c r="AI245">
        <v>0.18099999999999999</v>
      </c>
      <c r="AJ245">
        <v>0.33200000000000002</v>
      </c>
      <c r="AK245">
        <v>-340</v>
      </c>
      <c r="AL245">
        <v>120</v>
      </c>
      <c r="AM245" t="s">
        <v>44</v>
      </c>
      <c r="AN245">
        <v>5.4</v>
      </c>
      <c r="AO245" t="s">
        <v>114</v>
      </c>
      <c r="AP245">
        <v>1</v>
      </c>
      <c r="AQ245">
        <v>191</v>
      </c>
    </row>
    <row r="246" spans="1:43" x14ac:dyDescent="0.2">
      <c r="A246" t="s">
        <v>59</v>
      </c>
      <c r="B246" t="s">
        <v>60</v>
      </c>
      <c r="C246">
        <v>43.1</v>
      </c>
      <c r="D246" t="s">
        <v>44</v>
      </c>
      <c r="G246" t="s">
        <v>44</v>
      </c>
      <c r="H246">
        <v>0.5</v>
      </c>
      <c r="I246" t="s">
        <v>45</v>
      </c>
      <c r="J246" t="s">
        <v>46</v>
      </c>
      <c r="K246">
        <v>265.5</v>
      </c>
      <c r="L246">
        <v>0.4</v>
      </c>
      <c r="M246" t="s">
        <v>47</v>
      </c>
      <c r="N246" t="s">
        <v>61</v>
      </c>
      <c r="O246">
        <v>0.1</v>
      </c>
      <c r="P246" t="s">
        <v>44</v>
      </c>
      <c r="Q246" t="s">
        <v>44</v>
      </c>
      <c r="R246">
        <v>0.9</v>
      </c>
      <c r="S246" s="5">
        <f t="shared" si="3"/>
        <v>7.7</v>
      </c>
      <c r="T246">
        <v>9.5</v>
      </c>
      <c r="U246" t="s">
        <v>44</v>
      </c>
      <c r="V246" t="s">
        <v>48</v>
      </c>
      <c r="W246" t="s">
        <v>44</v>
      </c>
      <c r="X246">
        <v>20</v>
      </c>
      <c r="Y246">
        <v>95</v>
      </c>
      <c r="Z246">
        <v>8</v>
      </c>
      <c r="AA246">
        <v>500</v>
      </c>
      <c r="AB246" t="s">
        <v>69</v>
      </c>
      <c r="AC246" t="s">
        <v>50</v>
      </c>
      <c r="AD246">
        <v>2</v>
      </c>
      <c r="AE246">
        <v>7.1999999999999995E-2</v>
      </c>
      <c r="AF246">
        <v>0.42799999999999999</v>
      </c>
      <c r="AG246">
        <v>-1830</v>
      </c>
      <c r="AH246">
        <v>-2</v>
      </c>
      <c r="AI246">
        <v>0.23</v>
      </c>
      <c r="AJ246">
        <v>0.379</v>
      </c>
      <c r="AK246">
        <v>-1080</v>
      </c>
      <c r="AL246">
        <v>1800</v>
      </c>
      <c r="AM246" t="s">
        <v>44</v>
      </c>
      <c r="AN246">
        <v>5.5</v>
      </c>
      <c r="AO246" t="s">
        <v>62</v>
      </c>
      <c r="AP246">
        <v>1</v>
      </c>
      <c r="AQ246">
        <v>46</v>
      </c>
    </row>
    <row r="247" spans="1:43" x14ac:dyDescent="0.2">
      <c r="A247" t="s">
        <v>108</v>
      </c>
      <c r="B247" t="s">
        <v>109</v>
      </c>
      <c r="C247">
        <v>142.24</v>
      </c>
      <c r="D247" t="s">
        <v>44</v>
      </c>
      <c r="G247" t="s">
        <v>44</v>
      </c>
      <c r="H247">
        <v>2</v>
      </c>
      <c r="I247" t="s">
        <v>45</v>
      </c>
      <c r="J247" t="s">
        <v>46</v>
      </c>
      <c r="K247">
        <v>265.5</v>
      </c>
      <c r="L247">
        <v>0.2</v>
      </c>
      <c r="M247" t="s">
        <v>47</v>
      </c>
      <c r="N247" t="s">
        <v>44</v>
      </c>
      <c r="O247" t="s">
        <v>44</v>
      </c>
      <c r="P247" t="s">
        <v>44</v>
      </c>
      <c r="Q247" t="s">
        <v>44</v>
      </c>
      <c r="R247">
        <v>2.2000000000000002</v>
      </c>
      <c r="S247" s="5">
        <f t="shared" si="3"/>
        <v>18.670000000000002</v>
      </c>
      <c r="T247" t="s">
        <v>44</v>
      </c>
      <c r="U247" t="s">
        <v>44</v>
      </c>
      <c r="V247" t="s">
        <v>48</v>
      </c>
      <c r="W247" t="s">
        <v>44</v>
      </c>
      <c r="X247">
        <v>3</v>
      </c>
      <c r="Y247">
        <v>65</v>
      </c>
      <c r="Z247">
        <v>10</v>
      </c>
      <c r="AA247">
        <v>2000</v>
      </c>
      <c r="AB247" t="s">
        <v>49</v>
      </c>
      <c r="AC247" t="s">
        <v>52</v>
      </c>
      <c r="AD247">
        <v>1</v>
      </c>
      <c r="AE247">
        <v>0.10199999999999999</v>
      </c>
      <c r="AF247">
        <v>0.35799999999999998</v>
      </c>
      <c r="AG247">
        <v>-365</v>
      </c>
      <c r="AH247">
        <v>-1</v>
      </c>
      <c r="AI247">
        <v>0.18099999999999999</v>
      </c>
      <c r="AJ247">
        <v>0.33200000000000002</v>
      </c>
      <c r="AK247">
        <v>-340</v>
      </c>
      <c r="AL247">
        <v>60</v>
      </c>
      <c r="AM247" t="s">
        <v>44</v>
      </c>
      <c r="AN247">
        <v>5.5</v>
      </c>
      <c r="AO247" t="s">
        <v>110</v>
      </c>
      <c r="AP247">
        <v>1</v>
      </c>
      <c r="AQ247">
        <v>183</v>
      </c>
    </row>
    <row r="248" spans="1:43" x14ac:dyDescent="0.2">
      <c r="A248" t="s">
        <v>108</v>
      </c>
      <c r="B248" t="s">
        <v>109</v>
      </c>
      <c r="C248">
        <v>142.24</v>
      </c>
      <c r="D248" t="s">
        <v>44</v>
      </c>
      <c r="G248" t="s">
        <v>44</v>
      </c>
      <c r="H248">
        <v>2</v>
      </c>
      <c r="I248" t="s">
        <v>45</v>
      </c>
      <c r="J248" t="s">
        <v>46</v>
      </c>
      <c r="K248">
        <v>265.5</v>
      </c>
      <c r="L248">
        <v>0.15</v>
      </c>
      <c r="M248" t="s">
        <v>47</v>
      </c>
      <c r="N248" t="s">
        <v>44</v>
      </c>
      <c r="O248" t="s">
        <v>44</v>
      </c>
      <c r="P248" t="s">
        <v>44</v>
      </c>
      <c r="Q248" t="s">
        <v>44</v>
      </c>
      <c r="R248">
        <v>2.15</v>
      </c>
      <c r="S248" s="5">
        <f t="shared" si="3"/>
        <v>24.89</v>
      </c>
      <c r="T248" t="s">
        <v>44</v>
      </c>
      <c r="U248" t="s">
        <v>44</v>
      </c>
      <c r="V248" t="s">
        <v>48</v>
      </c>
      <c r="W248" t="s">
        <v>44</v>
      </c>
      <c r="X248">
        <v>3</v>
      </c>
      <c r="Y248">
        <v>65</v>
      </c>
      <c r="Z248">
        <v>10</v>
      </c>
      <c r="AA248">
        <v>2000</v>
      </c>
      <c r="AB248" t="s">
        <v>49</v>
      </c>
      <c r="AC248" t="s">
        <v>52</v>
      </c>
      <c r="AD248">
        <v>1</v>
      </c>
      <c r="AE248">
        <v>0.10199999999999999</v>
      </c>
      <c r="AF248">
        <v>0.35799999999999998</v>
      </c>
      <c r="AG248">
        <v>-365</v>
      </c>
      <c r="AH248">
        <v>-1</v>
      </c>
      <c r="AI248">
        <v>0.18099999999999999</v>
      </c>
      <c r="AJ248">
        <v>0.33200000000000002</v>
      </c>
      <c r="AK248">
        <v>-340</v>
      </c>
      <c r="AL248">
        <v>30</v>
      </c>
      <c r="AM248" t="s">
        <v>44</v>
      </c>
      <c r="AN248">
        <v>5.5</v>
      </c>
      <c r="AO248" t="s">
        <v>110</v>
      </c>
      <c r="AP248">
        <v>1</v>
      </c>
      <c r="AQ248">
        <v>184</v>
      </c>
    </row>
    <row r="249" spans="1:43" x14ac:dyDescent="0.2">
      <c r="A249" t="s">
        <v>108</v>
      </c>
      <c r="B249" t="s">
        <v>109</v>
      </c>
      <c r="C249">
        <v>142.24</v>
      </c>
      <c r="D249" t="s">
        <v>44</v>
      </c>
      <c r="G249" t="s">
        <v>44</v>
      </c>
      <c r="H249">
        <v>2</v>
      </c>
      <c r="I249" t="s">
        <v>45</v>
      </c>
      <c r="J249" t="s">
        <v>46</v>
      </c>
      <c r="K249">
        <v>265.5</v>
      </c>
      <c r="L249">
        <v>0.2</v>
      </c>
      <c r="M249" t="s">
        <v>47</v>
      </c>
      <c r="N249" t="s">
        <v>44</v>
      </c>
      <c r="O249" t="s">
        <v>44</v>
      </c>
      <c r="P249" t="s">
        <v>44</v>
      </c>
      <c r="Q249" t="s">
        <v>44</v>
      </c>
      <c r="R249">
        <v>2.2000000000000002</v>
      </c>
      <c r="S249" s="5">
        <f t="shared" si="3"/>
        <v>18.670000000000002</v>
      </c>
      <c r="T249" t="s">
        <v>44</v>
      </c>
      <c r="U249" t="s">
        <v>44</v>
      </c>
      <c r="V249" t="s">
        <v>48</v>
      </c>
      <c r="W249" t="s">
        <v>44</v>
      </c>
      <c r="X249">
        <v>3</v>
      </c>
      <c r="Y249">
        <v>65</v>
      </c>
      <c r="Z249">
        <v>10</v>
      </c>
      <c r="AA249">
        <v>2000</v>
      </c>
      <c r="AB249" t="s">
        <v>49</v>
      </c>
      <c r="AC249" t="s">
        <v>52</v>
      </c>
      <c r="AD249">
        <v>1</v>
      </c>
      <c r="AE249">
        <v>0.10199999999999999</v>
      </c>
      <c r="AF249">
        <v>0.35799999999999998</v>
      </c>
      <c r="AG249">
        <v>-365</v>
      </c>
      <c r="AH249">
        <v>-1</v>
      </c>
      <c r="AI249">
        <v>0.18099999999999999</v>
      </c>
      <c r="AJ249">
        <v>0.33200000000000002</v>
      </c>
      <c r="AK249">
        <v>-340</v>
      </c>
      <c r="AL249">
        <v>45</v>
      </c>
      <c r="AM249" t="s">
        <v>44</v>
      </c>
      <c r="AN249">
        <v>5.5</v>
      </c>
      <c r="AO249" t="s">
        <v>110</v>
      </c>
      <c r="AP249">
        <v>1</v>
      </c>
      <c r="AQ249">
        <v>185</v>
      </c>
    </row>
    <row r="250" spans="1:43" x14ac:dyDescent="0.2">
      <c r="A250" t="s">
        <v>108</v>
      </c>
      <c r="B250" t="s">
        <v>109</v>
      </c>
      <c r="C250">
        <v>142.24</v>
      </c>
      <c r="D250" t="s">
        <v>44</v>
      </c>
      <c r="G250" t="s">
        <v>44</v>
      </c>
      <c r="H250">
        <v>2.5</v>
      </c>
      <c r="I250" t="s">
        <v>45</v>
      </c>
      <c r="J250" t="s">
        <v>46</v>
      </c>
      <c r="K250">
        <v>265.5</v>
      </c>
      <c r="L250">
        <v>0.2</v>
      </c>
      <c r="M250" t="s">
        <v>47</v>
      </c>
      <c r="N250" t="s">
        <v>44</v>
      </c>
      <c r="O250" t="s">
        <v>44</v>
      </c>
      <c r="P250" t="s">
        <v>44</v>
      </c>
      <c r="Q250" t="s">
        <v>44</v>
      </c>
      <c r="R250">
        <v>2.7</v>
      </c>
      <c r="S250" s="5">
        <f t="shared" si="3"/>
        <v>23.33</v>
      </c>
      <c r="T250" t="s">
        <v>44</v>
      </c>
      <c r="U250" t="s">
        <v>44</v>
      </c>
      <c r="V250" t="s">
        <v>48</v>
      </c>
      <c r="W250" t="s">
        <v>44</v>
      </c>
      <c r="X250">
        <v>3</v>
      </c>
      <c r="Y250">
        <v>65</v>
      </c>
      <c r="Z250">
        <v>10</v>
      </c>
      <c r="AA250">
        <v>2000</v>
      </c>
      <c r="AB250" t="s">
        <v>49</v>
      </c>
      <c r="AC250" t="s">
        <v>52</v>
      </c>
      <c r="AD250">
        <v>1</v>
      </c>
      <c r="AE250">
        <v>0.10199999999999999</v>
      </c>
      <c r="AF250">
        <v>0.35799999999999998</v>
      </c>
      <c r="AG250">
        <v>-365</v>
      </c>
      <c r="AH250">
        <v>-1</v>
      </c>
      <c r="AI250">
        <v>0.18099999999999999</v>
      </c>
      <c r="AJ250">
        <v>0.33200000000000002</v>
      </c>
      <c r="AK250">
        <v>-340</v>
      </c>
      <c r="AL250">
        <v>90</v>
      </c>
      <c r="AM250" t="s">
        <v>44</v>
      </c>
      <c r="AN250">
        <v>5.5</v>
      </c>
      <c r="AO250" t="s">
        <v>110</v>
      </c>
      <c r="AP250">
        <v>1</v>
      </c>
      <c r="AQ250">
        <v>186</v>
      </c>
    </row>
    <row r="251" spans="1:43" x14ac:dyDescent="0.2">
      <c r="A251" t="s">
        <v>108</v>
      </c>
      <c r="B251" t="s">
        <v>109</v>
      </c>
      <c r="C251">
        <v>142.24</v>
      </c>
      <c r="D251" t="s">
        <v>44</v>
      </c>
      <c r="G251" t="s">
        <v>44</v>
      </c>
      <c r="H251">
        <v>1</v>
      </c>
      <c r="I251" t="s">
        <v>45</v>
      </c>
      <c r="J251" t="s">
        <v>46</v>
      </c>
      <c r="K251">
        <v>265.5</v>
      </c>
      <c r="L251">
        <v>1</v>
      </c>
      <c r="M251" t="s">
        <v>47</v>
      </c>
      <c r="N251" t="s">
        <v>44</v>
      </c>
      <c r="O251" t="s">
        <v>44</v>
      </c>
      <c r="P251" t="s">
        <v>44</v>
      </c>
      <c r="Q251" t="s">
        <v>44</v>
      </c>
      <c r="R251">
        <v>2</v>
      </c>
      <c r="S251" s="5">
        <f t="shared" si="3"/>
        <v>1.87</v>
      </c>
      <c r="T251" t="s">
        <v>44</v>
      </c>
      <c r="U251" t="s">
        <v>44</v>
      </c>
      <c r="V251" t="s">
        <v>48</v>
      </c>
      <c r="W251" t="s">
        <v>44</v>
      </c>
      <c r="X251">
        <v>3</v>
      </c>
      <c r="Y251">
        <v>65</v>
      </c>
      <c r="Z251">
        <v>10</v>
      </c>
      <c r="AA251">
        <v>2000</v>
      </c>
      <c r="AB251" t="s">
        <v>49</v>
      </c>
      <c r="AC251" t="s">
        <v>52</v>
      </c>
      <c r="AD251">
        <v>1</v>
      </c>
      <c r="AE251">
        <v>0.10199999999999999</v>
      </c>
      <c r="AF251">
        <v>0.35799999999999998</v>
      </c>
      <c r="AG251">
        <v>-365</v>
      </c>
      <c r="AH251">
        <v>-1</v>
      </c>
      <c r="AI251">
        <v>0.18099999999999999</v>
      </c>
      <c r="AJ251">
        <v>0.33200000000000002</v>
      </c>
      <c r="AK251">
        <v>-340</v>
      </c>
      <c r="AL251">
        <v>180</v>
      </c>
      <c r="AM251" t="s">
        <v>44</v>
      </c>
      <c r="AN251">
        <v>5.5</v>
      </c>
      <c r="AO251" t="s">
        <v>110</v>
      </c>
      <c r="AP251">
        <v>1</v>
      </c>
      <c r="AQ251">
        <v>187</v>
      </c>
    </row>
    <row r="252" spans="1:43" x14ac:dyDescent="0.2">
      <c r="A252" t="s">
        <v>42</v>
      </c>
      <c r="B252" t="s">
        <v>43</v>
      </c>
      <c r="C252">
        <v>86.14</v>
      </c>
      <c r="D252" t="s">
        <v>44</v>
      </c>
      <c r="G252" t="s">
        <v>44</v>
      </c>
      <c r="H252">
        <v>1</v>
      </c>
      <c r="I252" t="s">
        <v>45</v>
      </c>
      <c r="J252" t="s">
        <v>46</v>
      </c>
      <c r="K252">
        <v>265.5</v>
      </c>
      <c r="L252">
        <v>0.4</v>
      </c>
      <c r="M252" t="s">
        <v>47</v>
      </c>
      <c r="N252" t="s">
        <v>44</v>
      </c>
      <c r="O252" t="s">
        <v>44</v>
      </c>
      <c r="P252" t="s">
        <v>44</v>
      </c>
      <c r="Q252" t="s">
        <v>44</v>
      </c>
      <c r="R252">
        <v>1.4</v>
      </c>
      <c r="S252" s="5">
        <f t="shared" si="3"/>
        <v>7.71</v>
      </c>
      <c r="T252">
        <v>11</v>
      </c>
      <c r="U252" t="s">
        <v>44</v>
      </c>
      <c r="V252" t="s">
        <v>48</v>
      </c>
      <c r="W252" t="s">
        <v>44</v>
      </c>
      <c r="X252">
        <v>5</v>
      </c>
      <c r="Y252">
        <v>70</v>
      </c>
      <c r="Z252">
        <v>6</v>
      </c>
      <c r="AA252">
        <v>2000</v>
      </c>
      <c r="AB252" t="s">
        <v>69</v>
      </c>
      <c r="AC252" t="s">
        <v>50</v>
      </c>
      <c r="AD252">
        <v>2</v>
      </c>
      <c r="AE252">
        <v>7.1999999999999995E-2</v>
      </c>
      <c r="AF252">
        <v>0.42799999999999999</v>
      </c>
      <c r="AG252">
        <v>-1830</v>
      </c>
      <c r="AH252">
        <v>-2</v>
      </c>
      <c r="AI252">
        <v>0.23</v>
      </c>
      <c r="AJ252">
        <v>0.379</v>
      </c>
      <c r="AK252">
        <v>-1080</v>
      </c>
      <c r="AL252">
        <v>120</v>
      </c>
      <c r="AM252" t="s">
        <v>44</v>
      </c>
      <c r="AN252">
        <v>5.5</v>
      </c>
      <c r="AO252" t="s">
        <v>103</v>
      </c>
      <c r="AP252">
        <v>1</v>
      </c>
      <c r="AQ252">
        <v>189</v>
      </c>
    </row>
    <row r="253" spans="1:43" x14ac:dyDescent="0.2">
      <c r="A253" s="12" t="s">
        <v>42</v>
      </c>
      <c r="B253" s="12" t="s">
        <v>43</v>
      </c>
      <c r="C253" s="12">
        <v>86.14</v>
      </c>
      <c r="D253" s="12" t="s">
        <v>44</v>
      </c>
      <c r="E253" s="12"/>
      <c r="F253" s="12"/>
      <c r="G253" s="12" t="s">
        <v>44</v>
      </c>
      <c r="H253" s="12">
        <v>0.35</v>
      </c>
      <c r="I253" s="12" t="s">
        <v>45</v>
      </c>
      <c r="J253" s="12" t="s">
        <v>46</v>
      </c>
      <c r="K253" s="12">
        <v>265.5</v>
      </c>
      <c r="L253" s="12">
        <v>0.2</v>
      </c>
      <c r="M253" s="12" t="s">
        <v>47</v>
      </c>
      <c r="N253" s="12" t="s">
        <v>44</v>
      </c>
      <c r="O253" s="12" t="s">
        <v>44</v>
      </c>
      <c r="P253" s="12" t="s">
        <v>44</v>
      </c>
      <c r="Q253" s="12" t="s">
        <v>44</v>
      </c>
      <c r="R253" s="12">
        <v>0.55000000000000004</v>
      </c>
      <c r="S253" s="13">
        <f t="shared" si="3"/>
        <v>5.39</v>
      </c>
      <c r="T253" s="12">
        <v>12</v>
      </c>
      <c r="U253" s="12" t="s">
        <v>44</v>
      </c>
      <c r="V253" s="12" t="s">
        <v>48</v>
      </c>
      <c r="W253" s="12" t="s">
        <v>44</v>
      </c>
      <c r="X253" s="12">
        <v>15</v>
      </c>
      <c r="Y253" s="12">
        <v>50</v>
      </c>
      <c r="Z253" s="12">
        <v>6</v>
      </c>
      <c r="AA253" s="12">
        <v>1000</v>
      </c>
      <c r="AB253" s="12" t="s">
        <v>49</v>
      </c>
      <c r="AC253" s="12" t="s">
        <v>52</v>
      </c>
      <c r="AD253" s="12">
        <v>1</v>
      </c>
      <c r="AE253" s="12">
        <v>0.10199999999999999</v>
      </c>
      <c r="AF253" s="12">
        <v>0.35799999999999998</v>
      </c>
      <c r="AG253" s="12">
        <v>-365</v>
      </c>
      <c r="AH253" s="12">
        <v>-1</v>
      </c>
      <c r="AI253" s="12">
        <v>0.18099999999999999</v>
      </c>
      <c r="AJ253" s="12">
        <v>0.33200000000000002</v>
      </c>
      <c r="AK253" s="12">
        <v>-340</v>
      </c>
      <c r="AL253" s="12">
        <v>60</v>
      </c>
      <c r="AM253" s="12" t="s">
        <v>44</v>
      </c>
      <c r="AN253" s="12">
        <v>5.6</v>
      </c>
      <c r="AO253" s="12" t="s">
        <v>53</v>
      </c>
      <c r="AP253" s="12">
        <v>1</v>
      </c>
      <c r="AQ253" s="12">
        <v>2</v>
      </c>
    </row>
    <row r="254" spans="1:43" x14ac:dyDescent="0.2">
      <c r="A254" s="12" t="s">
        <v>59</v>
      </c>
      <c r="B254" s="12" t="s">
        <v>60</v>
      </c>
      <c r="C254" s="12">
        <v>43.1</v>
      </c>
      <c r="D254" s="12" t="s">
        <v>44</v>
      </c>
      <c r="E254" s="12"/>
      <c r="F254" s="12"/>
      <c r="G254" s="12" t="s">
        <v>44</v>
      </c>
      <c r="H254" s="12">
        <v>0.5</v>
      </c>
      <c r="I254" s="12" t="s">
        <v>45</v>
      </c>
      <c r="J254" s="12" t="s">
        <v>46</v>
      </c>
      <c r="K254" s="12">
        <v>265.5</v>
      </c>
      <c r="L254" s="12">
        <v>0.4</v>
      </c>
      <c r="M254" s="12" t="s">
        <v>47</v>
      </c>
      <c r="N254" s="12" t="s">
        <v>61</v>
      </c>
      <c r="O254" s="12">
        <v>0.1</v>
      </c>
      <c r="P254" s="12" t="s">
        <v>44</v>
      </c>
      <c r="Q254" s="12" t="s">
        <v>44</v>
      </c>
      <c r="R254" s="12">
        <v>0.9</v>
      </c>
      <c r="S254" s="13">
        <f t="shared" si="3"/>
        <v>7.7</v>
      </c>
      <c r="T254" s="12">
        <v>9.5</v>
      </c>
      <c r="U254" s="12" t="s">
        <v>44</v>
      </c>
      <c r="V254" s="12" t="s">
        <v>48</v>
      </c>
      <c r="W254" s="12" t="s">
        <v>44</v>
      </c>
      <c r="X254" s="12">
        <v>20</v>
      </c>
      <c r="Y254" s="12">
        <v>95</v>
      </c>
      <c r="Z254" s="12">
        <v>8</v>
      </c>
      <c r="AA254" s="12">
        <v>500</v>
      </c>
      <c r="AB254" s="12" t="s">
        <v>49</v>
      </c>
      <c r="AC254" s="12" t="s">
        <v>50</v>
      </c>
      <c r="AD254" s="12">
        <v>1</v>
      </c>
      <c r="AE254" s="12">
        <v>0.10199999999999999</v>
      </c>
      <c r="AF254" s="12">
        <v>0.35799999999999998</v>
      </c>
      <c r="AG254" s="12">
        <v>-365</v>
      </c>
      <c r="AH254" s="12">
        <v>-2</v>
      </c>
      <c r="AI254" s="12">
        <v>0.23</v>
      </c>
      <c r="AJ254" s="12">
        <v>0.379</v>
      </c>
      <c r="AK254" s="12">
        <v>-1080</v>
      </c>
      <c r="AL254" s="12">
        <v>1800</v>
      </c>
      <c r="AM254" s="12" t="s">
        <v>44</v>
      </c>
      <c r="AN254" s="12">
        <v>5.6</v>
      </c>
      <c r="AO254" s="12" t="s">
        <v>62</v>
      </c>
      <c r="AP254" s="12">
        <v>1</v>
      </c>
      <c r="AQ254" s="12">
        <v>30</v>
      </c>
    </row>
    <row r="255" spans="1:43" x14ac:dyDescent="0.2">
      <c r="A255" s="12" t="s">
        <v>108</v>
      </c>
      <c r="B255" s="12" t="s">
        <v>109</v>
      </c>
      <c r="C255" s="12">
        <v>142.24</v>
      </c>
      <c r="D255" s="12" t="s">
        <v>44</v>
      </c>
      <c r="E255" s="12"/>
      <c r="F255" s="12"/>
      <c r="G255" s="12" t="s">
        <v>44</v>
      </c>
      <c r="H255" s="12">
        <v>3</v>
      </c>
      <c r="I255" s="12" t="s">
        <v>45</v>
      </c>
      <c r="J255" s="12" t="s">
        <v>46</v>
      </c>
      <c r="K255" s="12">
        <v>265.5</v>
      </c>
      <c r="L255" s="12">
        <v>0.2</v>
      </c>
      <c r="M255" s="12" t="s">
        <v>47</v>
      </c>
      <c r="N255" s="12" t="s">
        <v>44</v>
      </c>
      <c r="O255" s="12" t="s">
        <v>44</v>
      </c>
      <c r="P255" s="12" t="s">
        <v>44</v>
      </c>
      <c r="Q255" s="12" t="s">
        <v>44</v>
      </c>
      <c r="R255" s="12">
        <v>3.2</v>
      </c>
      <c r="S255" s="13">
        <f t="shared" si="3"/>
        <v>28</v>
      </c>
      <c r="T255" s="12" t="s">
        <v>44</v>
      </c>
      <c r="U255" s="12" t="s">
        <v>44</v>
      </c>
      <c r="V255" s="12" t="s">
        <v>48</v>
      </c>
      <c r="W255" s="12" t="s">
        <v>44</v>
      </c>
      <c r="X255" s="12">
        <v>3</v>
      </c>
      <c r="Y255" s="12">
        <v>65</v>
      </c>
      <c r="Z255" s="12">
        <v>10</v>
      </c>
      <c r="AA255" s="12">
        <v>2000</v>
      </c>
      <c r="AB255" s="12" t="s">
        <v>49</v>
      </c>
      <c r="AC255" s="12" t="s">
        <v>52</v>
      </c>
      <c r="AD255" s="12">
        <v>1</v>
      </c>
      <c r="AE255" s="12">
        <v>0.10199999999999999</v>
      </c>
      <c r="AF255" s="12">
        <v>0.35799999999999998</v>
      </c>
      <c r="AG255" s="12">
        <v>-365</v>
      </c>
      <c r="AH255" s="12">
        <v>-1</v>
      </c>
      <c r="AI255" s="12">
        <v>0.18099999999999999</v>
      </c>
      <c r="AJ255" s="12">
        <v>0.33200000000000002</v>
      </c>
      <c r="AK255" s="12">
        <v>-340</v>
      </c>
      <c r="AL255" s="12">
        <v>90</v>
      </c>
      <c r="AM255" s="12" t="s">
        <v>44</v>
      </c>
      <c r="AN255" s="12">
        <v>5.6</v>
      </c>
      <c r="AO255" s="12" t="s">
        <v>110</v>
      </c>
      <c r="AP255" s="12">
        <v>1</v>
      </c>
      <c r="AQ255" s="12">
        <v>179</v>
      </c>
    </row>
    <row r="256" spans="1:43" x14ac:dyDescent="0.2">
      <c r="A256" s="12" t="s">
        <v>42</v>
      </c>
      <c r="B256" s="12" t="s">
        <v>43</v>
      </c>
      <c r="C256" s="12">
        <v>86.14</v>
      </c>
      <c r="D256" s="12" t="s">
        <v>44</v>
      </c>
      <c r="E256" s="12"/>
      <c r="F256" s="12"/>
      <c r="G256" s="12" t="s">
        <v>44</v>
      </c>
      <c r="H256" s="12">
        <v>0.88</v>
      </c>
      <c r="I256" s="12" t="s">
        <v>116</v>
      </c>
      <c r="J256" s="12" t="s">
        <v>117</v>
      </c>
      <c r="K256" s="12">
        <v>423.7</v>
      </c>
      <c r="L256" s="12">
        <v>2.8000000000000001E-2</v>
      </c>
      <c r="M256" s="12" t="s">
        <v>111</v>
      </c>
      <c r="N256" s="12" t="s">
        <v>61</v>
      </c>
      <c r="O256" s="12">
        <v>0.01</v>
      </c>
      <c r="P256" s="12" t="s">
        <v>118</v>
      </c>
      <c r="Q256" s="12">
        <v>4</v>
      </c>
      <c r="R256" s="12">
        <v>0.90800000000000003</v>
      </c>
      <c r="S256" s="13">
        <f t="shared" si="3"/>
        <v>154.59</v>
      </c>
      <c r="T256" s="12" t="s">
        <v>44</v>
      </c>
      <c r="U256" s="12" t="s">
        <v>44</v>
      </c>
      <c r="V256" s="12" t="s">
        <v>48</v>
      </c>
      <c r="W256" s="12" t="s">
        <v>44</v>
      </c>
      <c r="X256" s="12">
        <v>10</v>
      </c>
      <c r="Y256" s="12">
        <v>25</v>
      </c>
      <c r="Z256" s="12">
        <v>5</v>
      </c>
      <c r="AA256" s="12">
        <v>500</v>
      </c>
      <c r="AB256" s="12" t="s">
        <v>49</v>
      </c>
      <c r="AC256" s="12" t="s">
        <v>50</v>
      </c>
      <c r="AD256" s="12">
        <v>1</v>
      </c>
      <c r="AE256" s="12">
        <v>0.10199999999999999</v>
      </c>
      <c r="AF256" s="12">
        <v>0.35799999999999998</v>
      </c>
      <c r="AG256" s="12">
        <v>-365</v>
      </c>
      <c r="AH256" s="12">
        <v>-2</v>
      </c>
      <c r="AI256" s="12">
        <v>0.23</v>
      </c>
      <c r="AJ256" s="12">
        <v>0.379</v>
      </c>
      <c r="AK256" s="12">
        <v>-1080</v>
      </c>
      <c r="AL256" s="12">
        <v>480</v>
      </c>
      <c r="AM256" s="12" t="s">
        <v>44</v>
      </c>
      <c r="AN256" s="12">
        <v>5.6</v>
      </c>
      <c r="AO256" s="12" t="s">
        <v>121</v>
      </c>
      <c r="AP256" s="12">
        <v>3</v>
      </c>
      <c r="AQ256" s="12">
        <v>180</v>
      </c>
    </row>
    <row r="257" spans="1:43" x14ac:dyDescent="0.2">
      <c r="A257" s="12" t="s">
        <v>42</v>
      </c>
      <c r="B257" s="12" t="s">
        <v>43</v>
      </c>
      <c r="C257" s="12">
        <v>86.14</v>
      </c>
      <c r="D257" s="12" t="s">
        <v>44</v>
      </c>
      <c r="E257" s="12"/>
      <c r="F257" s="12"/>
      <c r="G257" s="12" t="s">
        <v>44</v>
      </c>
      <c r="H257" s="12">
        <v>2.64</v>
      </c>
      <c r="I257" s="12" t="s">
        <v>116</v>
      </c>
      <c r="J257" s="12" t="s">
        <v>117</v>
      </c>
      <c r="K257" s="12">
        <v>423.7</v>
      </c>
      <c r="L257" s="12">
        <v>2.8000000000000001E-2</v>
      </c>
      <c r="M257" s="12" t="s">
        <v>111</v>
      </c>
      <c r="N257" s="12" t="s">
        <v>61</v>
      </c>
      <c r="O257" s="12">
        <v>0.01</v>
      </c>
      <c r="P257" s="12" t="s">
        <v>118</v>
      </c>
      <c r="Q257" s="12">
        <v>4</v>
      </c>
      <c r="R257" s="12">
        <v>2.6680000000000001</v>
      </c>
      <c r="S257" s="13">
        <f t="shared" ref="S257:S320" si="4">ROUND(IF(G257="-", (H257/C257)/(L257/K257), ((G257*H257/C257) + (H257/F257)) / (1+G257) / (L257/K257)),2)</f>
        <v>463.77</v>
      </c>
      <c r="T257" s="12" t="s">
        <v>44</v>
      </c>
      <c r="U257" s="12" t="s">
        <v>44</v>
      </c>
      <c r="V257" s="12" t="s">
        <v>48</v>
      </c>
      <c r="W257" s="12" t="s">
        <v>44</v>
      </c>
      <c r="X257" s="12">
        <v>10</v>
      </c>
      <c r="Y257" s="12">
        <v>25</v>
      </c>
      <c r="Z257" s="12">
        <v>5</v>
      </c>
      <c r="AA257" s="12">
        <v>500</v>
      </c>
      <c r="AB257" s="12" t="s">
        <v>69</v>
      </c>
      <c r="AC257" s="12" t="s">
        <v>50</v>
      </c>
      <c r="AD257" s="12">
        <v>2</v>
      </c>
      <c r="AE257" s="12">
        <v>7.1999999999999995E-2</v>
      </c>
      <c r="AF257" s="12">
        <v>0.42799999999999999</v>
      </c>
      <c r="AG257" s="12">
        <v>-1830</v>
      </c>
      <c r="AH257" s="12">
        <v>-2</v>
      </c>
      <c r="AI257" s="12">
        <v>0.23</v>
      </c>
      <c r="AJ257" s="12">
        <v>0.379</v>
      </c>
      <c r="AK257" s="12">
        <v>-1080</v>
      </c>
      <c r="AL257" s="12">
        <v>480</v>
      </c>
      <c r="AM257" s="12" t="s">
        <v>44</v>
      </c>
      <c r="AN257" s="12">
        <v>5.6</v>
      </c>
      <c r="AO257" s="12" t="s">
        <v>121</v>
      </c>
      <c r="AP257" s="12">
        <v>3</v>
      </c>
      <c r="AQ257" s="12">
        <v>181</v>
      </c>
    </row>
    <row r="258" spans="1:43" x14ac:dyDescent="0.2">
      <c r="A258" s="2" t="s">
        <v>59</v>
      </c>
      <c r="B258" s="2" t="s">
        <v>60</v>
      </c>
      <c r="C258" s="2">
        <v>43.1</v>
      </c>
      <c r="D258" s="2" t="s">
        <v>44</v>
      </c>
      <c r="E258" s="2"/>
      <c r="F258" s="2"/>
      <c r="G258" s="2" t="s">
        <v>44</v>
      </c>
      <c r="H258" s="2">
        <v>0.5</v>
      </c>
      <c r="I258" s="2" t="s">
        <v>45</v>
      </c>
      <c r="J258" s="2" t="s">
        <v>46</v>
      </c>
      <c r="K258" s="2">
        <v>265.5</v>
      </c>
      <c r="L258" s="2">
        <v>0.4</v>
      </c>
      <c r="M258" s="2" t="s">
        <v>47</v>
      </c>
      <c r="N258" s="2" t="s">
        <v>61</v>
      </c>
      <c r="O258" s="2">
        <v>0.1</v>
      </c>
      <c r="P258" s="2" t="s">
        <v>44</v>
      </c>
      <c r="Q258" s="2" t="s">
        <v>44</v>
      </c>
      <c r="R258" s="2">
        <v>0.9</v>
      </c>
      <c r="S258" s="3">
        <f t="shared" si="4"/>
        <v>7.7</v>
      </c>
      <c r="T258" s="2">
        <v>9.5</v>
      </c>
      <c r="U258" s="2" t="s">
        <v>44</v>
      </c>
      <c r="V258" s="2" t="s">
        <v>48</v>
      </c>
      <c r="W258" s="2" t="s">
        <v>44</v>
      </c>
      <c r="X258" s="2">
        <v>20</v>
      </c>
      <c r="Y258" s="2">
        <v>95</v>
      </c>
      <c r="Z258" s="2">
        <v>8</v>
      </c>
      <c r="AA258" s="2">
        <v>500</v>
      </c>
      <c r="AB258" s="2" t="s">
        <v>49</v>
      </c>
      <c r="AC258" s="2" t="s">
        <v>52</v>
      </c>
      <c r="AD258" s="2">
        <v>1</v>
      </c>
      <c r="AE258" s="2">
        <v>0.10199999999999999</v>
      </c>
      <c r="AF258" s="2">
        <v>0.35799999999999998</v>
      </c>
      <c r="AG258" s="2">
        <v>-365</v>
      </c>
      <c r="AH258" s="2">
        <v>-1</v>
      </c>
      <c r="AI258" s="2">
        <v>0.18099999999999999</v>
      </c>
      <c r="AJ258" s="2">
        <v>0.33200000000000002</v>
      </c>
      <c r="AK258" s="2">
        <v>-340</v>
      </c>
      <c r="AL258" s="2">
        <v>1800</v>
      </c>
      <c r="AM258" s="2" t="s">
        <v>44</v>
      </c>
      <c r="AN258" s="2">
        <v>5.7</v>
      </c>
      <c r="AO258" s="2" t="s">
        <v>62</v>
      </c>
      <c r="AP258" s="2">
        <v>1</v>
      </c>
      <c r="AQ258" s="2">
        <v>5</v>
      </c>
    </row>
    <row r="259" spans="1:43" x14ac:dyDescent="0.2">
      <c r="A259" s="2" t="s">
        <v>42</v>
      </c>
      <c r="B259" s="2" t="s">
        <v>43</v>
      </c>
      <c r="C259" s="2">
        <v>86.14</v>
      </c>
      <c r="D259" s="2" t="s">
        <v>44</v>
      </c>
      <c r="E259" s="2"/>
      <c r="F259" s="2"/>
      <c r="G259" s="2" t="s">
        <v>44</v>
      </c>
      <c r="H259" s="2">
        <v>0.2</v>
      </c>
      <c r="I259" s="2" t="s">
        <v>45</v>
      </c>
      <c r="J259" s="2" t="s">
        <v>46</v>
      </c>
      <c r="K259" s="2">
        <v>265.5</v>
      </c>
      <c r="L259" s="2">
        <v>0.1</v>
      </c>
      <c r="M259" s="2" t="s">
        <v>47</v>
      </c>
      <c r="N259" s="2" t="s">
        <v>44</v>
      </c>
      <c r="O259" s="2" t="s">
        <v>44</v>
      </c>
      <c r="P259" s="2" t="s">
        <v>44</v>
      </c>
      <c r="Q259" s="2" t="s">
        <v>44</v>
      </c>
      <c r="R259" s="2">
        <v>0.3</v>
      </c>
      <c r="S259" s="3">
        <f t="shared" si="4"/>
        <v>6.16</v>
      </c>
      <c r="T259" s="2" t="s">
        <v>44</v>
      </c>
      <c r="U259" s="2" t="s">
        <v>44</v>
      </c>
      <c r="V259" s="2" t="s">
        <v>48</v>
      </c>
      <c r="W259" s="2" t="s">
        <v>44</v>
      </c>
      <c r="X259" s="2">
        <v>10</v>
      </c>
      <c r="Y259" s="2">
        <v>100</v>
      </c>
      <c r="Z259" s="2">
        <v>10.3</v>
      </c>
      <c r="AA259" s="2">
        <v>1000</v>
      </c>
      <c r="AB259" s="2" t="s">
        <v>69</v>
      </c>
      <c r="AC259" s="2" t="s">
        <v>50</v>
      </c>
      <c r="AD259" s="2">
        <v>2</v>
      </c>
      <c r="AE259" s="2">
        <v>7.1999999999999995E-2</v>
      </c>
      <c r="AF259" s="2">
        <v>0.42799999999999999</v>
      </c>
      <c r="AG259" s="2">
        <v>-1830</v>
      </c>
      <c r="AH259" s="2">
        <v>-2</v>
      </c>
      <c r="AI259" s="2">
        <v>0.23</v>
      </c>
      <c r="AJ259" s="2">
        <v>0.379</v>
      </c>
      <c r="AK259" s="2">
        <v>-1080</v>
      </c>
      <c r="AL259" s="2">
        <v>45</v>
      </c>
      <c r="AM259" s="2" t="s">
        <v>44</v>
      </c>
      <c r="AN259" s="2">
        <v>5.7</v>
      </c>
      <c r="AO259" s="2" t="s">
        <v>101</v>
      </c>
      <c r="AP259" s="2">
        <v>1</v>
      </c>
      <c r="AQ259" s="2">
        <v>173</v>
      </c>
    </row>
    <row r="260" spans="1:43" x14ac:dyDescent="0.2">
      <c r="A260" s="2" t="s">
        <v>42</v>
      </c>
      <c r="B260" s="2" t="s">
        <v>43</v>
      </c>
      <c r="C260" s="2">
        <v>86.14</v>
      </c>
      <c r="D260" s="2" t="s">
        <v>44</v>
      </c>
      <c r="E260" s="2"/>
      <c r="F260" s="2"/>
      <c r="G260" s="2" t="s">
        <v>44</v>
      </c>
      <c r="H260" s="2">
        <v>1.76</v>
      </c>
      <c r="I260" s="2" t="s">
        <v>116</v>
      </c>
      <c r="J260" s="2" t="s">
        <v>117</v>
      </c>
      <c r="K260" s="2">
        <v>423.7</v>
      </c>
      <c r="L260" s="2">
        <v>0.03</v>
      </c>
      <c r="M260" s="2" t="s">
        <v>111</v>
      </c>
      <c r="N260" s="2" t="s">
        <v>61</v>
      </c>
      <c r="O260" s="2">
        <v>0.01</v>
      </c>
      <c r="P260" s="2" t="s">
        <v>118</v>
      </c>
      <c r="Q260" s="2">
        <v>4</v>
      </c>
      <c r="R260" s="2">
        <v>1.79</v>
      </c>
      <c r="S260" s="3">
        <f t="shared" si="4"/>
        <v>288.57</v>
      </c>
      <c r="T260" s="2" t="s">
        <v>44</v>
      </c>
      <c r="U260" s="2" t="s">
        <v>119</v>
      </c>
      <c r="V260" s="2" t="s">
        <v>120</v>
      </c>
      <c r="W260" s="2">
        <v>1</v>
      </c>
      <c r="X260" s="2">
        <v>10</v>
      </c>
      <c r="Y260" s="2">
        <v>35</v>
      </c>
      <c r="Z260" s="2">
        <v>5</v>
      </c>
      <c r="AA260" s="2">
        <v>500</v>
      </c>
      <c r="AB260" s="2" t="s">
        <v>49</v>
      </c>
      <c r="AC260" s="2" t="s">
        <v>50</v>
      </c>
      <c r="AD260" s="2">
        <v>1</v>
      </c>
      <c r="AE260" s="2">
        <v>0.10199999999999999</v>
      </c>
      <c r="AF260" s="2">
        <v>0.35799999999999998</v>
      </c>
      <c r="AG260" s="2">
        <v>-365</v>
      </c>
      <c r="AH260" s="2">
        <v>-2</v>
      </c>
      <c r="AI260" s="2">
        <v>0.23</v>
      </c>
      <c r="AJ260" s="2">
        <v>0.379</v>
      </c>
      <c r="AK260" s="2">
        <v>-1080</v>
      </c>
      <c r="AL260" s="2">
        <v>480</v>
      </c>
      <c r="AM260" s="2" t="s">
        <v>44</v>
      </c>
      <c r="AN260" s="2">
        <v>5.7</v>
      </c>
      <c r="AO260" s="2" t="s">
        <v>121</v>
      </c>
      <c r="AP260" s="2">
        <v>3</v>
      </c>
      <c r="AQ260" s="2">
        <v>174</v>
      </c>
    </row>
    <row r="261" spans="1:43" x14ac:dyDescent="0.2">
      <c r="A261" s="2" t="s">
        <v>42</v>
      </c>
      <c r="B261" s="2" t="s">
        <v>43</v>
      </c>
      <c r="C261" s="2">
        <v>86.14</v>
      </c>
      <c r="D261" s="2" t="s">
        <v>44</v>
      </c>
      <c r="E261" s="2"/>
      <c r="F261" s="2"/>
      <c r="G261" s="2" t="s">
        <v>44</v>
      </c>
      <c r="H261" s="2">
        <v>2.64</v>
      </c>
      <c r="I261" s="2" t="s">
        <v>116</v>
      </c>
      <c r="J261" s="2" t="s">
        <v>117</v>
      </c>
      <c r="K261" s="2">
        <v>423.7</v>
      </c>
      <c r="L261" s="2">
        <v>2.8000000000000001E-2</v>
      </c>
      <c r="M261" s="2" t="s">
        <v>111</v>
      </c>
      <c r="N261" s="2" t="s">
        <v>61</v>
      </c>
      <c r="O261" s="2">
        <v>0.01</v>
      </c>
      <c r="P261" s="2" t="s">
        <v>118</v>
      </c>
      <c r="Q261" s="2">
        <v>4</v>
      </c>
      <c r="R261" s="2">
        <v>2.6680000000000001</v>
      </c>
      <c r="S261" s="3">
        <f t="shared" si="4"/>
        <v>463.77</v>
      </c>
      <c r="T261" s="2" t="s">
        <v>44</v>
      </c>
      <c r="U261" s="2" t="s">
        <v>44</v>
      </c>
      <c r="V261" s="2" t="s">
        <v>48</v>
      </c>
      <c r="W261" s="2" t="s">
        <v>44</v>
      </c>
      <c r="X261" s="2">
        <v>10</v>
      </c>
      <c r="Y261" s="2">
        <v>25</v>
      </c>
      <c r="Z261" s="2">
        <v>5</v>
      </c>
      <c r="AA261" s="2">
        <v>500</v>
      </c>
      <c r="AB261" s="2" t="s">
        <v>127</v>
      </c>
      <c r="AC261" s="2" t="s">
        <v>50</v>
      </c>
      <c r="AD261" s="2">
        <v>2</v>
      </c>
      <c r="AE261" s="2">
        <v>7.2999999999999995E-2</v>
      </c>
      <c r="AF261" s="2">
        <v>0.41899999999999998</v>
      </c>
      <c r="AG261" s="2">
        <v>-2010</v>
      </c>
      <c r="AH261" s="2">
        <v>-2</v>
      </c>
      <c r="AI261" s="2">
        <v>0.23</v>
      </c>
      <c r="AJ261" s="2">
        <v>0.379</v>
      </c>
      <c r="AK261" s="2">
        <v>-1080</v>
      </c>
      <c r="AL261" s="2">
        <v>480</v>
      </c>
      <c r="AM261" s="2" t="s">
        <v>44</v>
      </c>
      <c r="AN261" s="2">
        <v>5.7</v>
      </c>
      <c r="AO261" s="2" t="s">
        <v>121</v>
      </c>
      <c r="AP261" s="2">
        <v>3</v>
      </c>
      <c r="AQ261" s="2">
        <v>175</v>
      </c>
    </row>
    <row r="262" spans="1:43" x14ac:dyDescent="0.2">
      <c r="A262" s="2" t="s">
        <v>59</v>
      </c>
      <c r="B262" s="2" t="s">
        <v>60</v>
      </c>
      <c r="C262" s="2">
        <v>43.1</v>
      </c>
      <c r="D262" s="2" t="s">
        <v>42</v>
      </c>
      <c r="E262" s="2" t="s">
        <v>43</v>
      </c>
      <c r="F262" s="2">
        <v>86.14</v>
      </c>
      <c r="G262" s="2">
        <v>9.0000000000000053</v>
      </c>
      <c r="H262" s="2">
        <v>3</v>
      </c>
      <c r="I262" s="2" t="s">
        <v>45</v>
      </c>
      <c r="J262" s="2" t="s">
        <v>46</v>
      </c>
      <c r="K262" s="2">
        <v>265.5</v>
      </c>
      <c r="L262" s="2">
        <v>0.6</v>
      </c>
      <c r="M262" s="2" t="s">
        <v>47</v>
      </c>
      <c r="N262" s="2" t="s">
        <v>44</v>
      </c>
      <c r="O262" s="2" t="s">
        <v>44</v>
      </c>
      <c r="P262" s="2" t="s">
        <v>44</v>
      </c>
      <c r="Q262" s="2" t="s">
        <v>44</v>
      </c>
      <c r="R262" s="2">
        <v>3.6</v>
      </c>
      <c r="S262" s="3">
        <f t="shared" si="4"/>
        <v>29.26</v>
      </c>
      <c r="T262" s="2">
        <v>9.5</v>
      </c>
      <c r="U262" s="2" t="s">
        <v>44</v>
      </c>
      <c r="V262" s="2" t="s">
        <v>48</v>
      </c>
      <c r="W262" s="2" t="s">
        <v>44</v>
      </c>
      <c r="X262" s="2">
        <v>20</v>
      </c>
      <c r="Y262" s="2">
        <v>75</v>
      </c>
      <c r="Z262" s="2">
        <v>8</v>
      </c>
      <c r="AA262" s="2">
        <v>500</v>
      </c>
      <c r="AB262" s="2" t="s">
        <v>69</v>
      </c>
      <c r="AC262" s="2" t="s">
        <v>50</v>
      </c>
      <c r="AD262" s="2">
        <v>2</v>
      </c>
      <c r="AE262" s="2">
        <v>7.1999999999999995E-2</v>
      </c>
      <c r="AF262" s="2">
        <v>0.42799999999999999</v>
      </c>
      <c r="AG262" s="2">
        <v>-1830</v>
      </c>
      <c r="AH262" s="2">
        <v>-2</v>
      </c>
      <c r="AI262" s="2">
        <v>0.23</v>
      </c>
      <c r="AJ262" s="2">
        <v>0.379</v>
      </c>
      <c r="AK262" s="2">
        <v>-1080</v>
      </c>
      <c r="AL262" s="2">
        <v>1800</v>
      </c>
      <c r="AM262" s="2" t="s">
        <v>44</v>
      </c>
      <c r="AN262" s="2">
        <v>5.7</v>
      </c>
      <c r="AO262" s="2" t="s">
        <v>143</v>
      </c>
      <c r="AP262" s="2">
        <v>1</v>
      </c>
      <c r="AQ262" s="2">
        <v>306</v>
      </c>
    </row>
    <row r="263" spans="1:43" x14ac:dyDescent="0.2">
      <c r="A263" s="12" t="s">
        <v>63</v>
      </c>
      <c r="B263" s="12" t="s">
        <v>64</v>
      </c>
      <c r="C263" s="12">
        <v>228.29</v>
      </c>
      <c r="D263" s="12" t="s">
        <v>44</v>
      </c>
      <c r="E263" s="12"/>
      <c r="F263" s="12"/>
      <c r="G263" s="12" t="s">
        <v>44</v>
      </c>
      <c r="H263" s="12">
        <v>1</v>
      </c>
      <c r="I263" s="12" t="s">
        <v>45</v>
      </c>
      <c r="J263" s="12" t="s">
        <v>46</v>
      </c>
      <c r="K263" s="12">
        <v>265.5</v>
      </c>
      <c r="L263" s="12">
        <v>0.15</v>
      </c>
      <c r="M263" s="12" t="s">
        <v>47</v>
      </c>
      <c r="N263" s="12" t="s">
        <v>44</v>
      </c>
      <c r="O263" s="12" t="s">
        <v>44</v>
      </c>
      <c r="P263" s="12" t="s">
        <v>44</v>
      </c>
      <c r="Q263" s="12" t="s">
        <v>44</v>
      </c>
      <c r="R263" s="12">
        <v>1.1499999999999999</v>
      </c>
      <c r="S263" s="13">
        <f t="shared" si="4"/>
        <v>7.75</v>
      </c>
      <c r="T263" s="12" t="s">
        <v>44</v>
      </c>
      <c r="U263" s="12" t="s">
        <v>44</v>
      </c>
      <c r="V263" s="12" t="s">
        <v>48</v>
      </c>
      <c r="W263" s="12" t="s">
        <v>44</v>
      </c>
      <c r="X263" s="12" t="s">
        <v>44</v>
      </c>
      <c r="Y263" s="12" t="s">
        <v>44</v>
      </c>
      <c r="Z263" s="12">
        <v>4.4800000000000004</v>
      </c>
      <c r="AA263" s="12">
        <v>5.8659999999999997</v>
      </c>
      <c r="AB263" s="12" t="s">
        <v>49</v>
      </c>
      <c r="AC263" s="12" t="s">
        <v>52</v>
      </c>
      <c r="AD263" s="12">
        <v>1</v>
      </c>
      <c r="AE263" s="12">
        <v>0.10199999999999999</v>
      </c>
      <c r="AF263" s="12">
        <v>0.35799999999999998</v>
      </c>
      <c r="AG263" s="12">
        <v>-365</v>
      </c>
      <c r="AH263" s="12">
        <v>-1</v>
      </c>
      <c r="AI263" s="12">
        <v>0.18099999999999999</v>
      </c>
      <c r="AJ263" s="12">
        <v>0.33200000000000002</v>
      </c>
      <c r="AK263" s="12">
        <v>-340</v>
      </c>
      <c r="AL263" s="12">
        <v>60</v>
      </c>
      <c r="AM263" s="12" t="s">
        <v>44</v>
      </c>
      <c r="AN263" s="12">
        <v>5.8</v>
      </c>
      <c r="AO263" s="12" t="s">
        <v>65</v>
      </c>
      <c r="AP263" s="12">
        <v>1</v>
      </c>
      <c r="AQ263" s="12">
        <v>164</v>
      </c>
    </row>
    <row r="264" spans="1:43" x14ac:dyDescent="0.2">
      <c r="A264" s="12" t="s">
        <v>42</v>
      </c>
      <c r="B264" s="12" t="s">
        <v>43</v>
      </c>
      <c r="C264" s="12">
        <v>86.14</v>
      </c>
      <c r="D264" s="12" t="s">
        <v>44</v>
      </c>
      <c r="E264" s="12"/>
      <c r="F264" s="12"/>
      <c r="G264" s="12" t="s">
        <v>44</v>
      </c>
      <c r="H264" s="12">
        <v>1</v>
      </c>
      <c r="I264" s="12" t="s">
        <v>45</v>
      </c>
      <c r="J264" s="12" t="s">
        <v>46</v>
      </c>
      <c r="K264" s="12">
        <v>265.5</v>
      </c>
      <c r="L264" s="12">
        <v>0.22900000000000001</v>
      </c>
      <c r="M264" s="12" t="s">
        <v>98</v>
      </c>
      <c r="N264" s="12" t="s">
        <v>44</v>
      </c>
      <c r="O264" s="12" t="s">
        <v>44</v>
      </c>
      <c r="P264" s="12" t="s">
        <v>44</v>
      </c>
      <c r="Q264" s="12" t="s">
        <v>44</v>
      </c>
      <c r="R264" s="12">
        <v>1.2290000000000001</v>
      </c>
      <c r="S264" s="13">
        <f t="shared" si="4"/>
        <v>13.46</v>
      </c>
      <c r="T264" s="12" t="s">
        <v>44</v>
      </c>
      <c r="U264" s="12" t="s">
        <v>44</v>
      </c>
      <c r="V264" s="12" t="s">
        <v>48</v>
      </c>
      <c r="W264" s="12" t="s">
        <v>44</v>
      </c>
      <c r="X264" s="12" t="s">
        <v>44</v>
      </c>
      <c r="Y264" s="12" t="s">
        <v>44</v>
      </c>
      <c r="Z264" s="12">
        <v>10</v>
      </c>
      <c r="AA264" s="12">
        <v>1000</v>
      </c>
      <c r="AB264" s="12" t="s">
        <v>49</v>
      </c>
      <c r="AC264" s="12" t="s">
        <v>50</v>
      </c>
      <c r="AD264" s="12">
        <v>1</v>
      </c>
      <c r="AE264" s="12">
        <v>0.10199999999999999</v>
      </c>
      <c r="AF264" s="12">
        <v>0.35799999999999998</v>
      </c>
      <c r="AG264" s="12">
        <v>-365</v>
      </c>
      <c r="AH264" s="12">
        <v>-2</v>
      </c>
      <c r="AI264" s="12">
        <v>0.23</v>
      </c>
      <c r="AJ264" s="12">
        <v>0.379</v>
      </c>
      <c r="AK264" s="12">
        <v>-1080</v>
      </c>
      <c r="AL264" s="12">
        <v>30</v>
      </c>
      <c r="AM264" s="12" t="s">
        <v>44</v>
      </c>
      <c r="AN264" s="12">
        <v>5.8</v>
      </c>
      <c r="AO264" s="12" t="s">
        <v>105</v>
      </c>
      <c r="AP264" s="12">
        <v>1</v>
      </c>
      <c r="AQ264" s="12">
        <v>165</v>
      </c>
    </row>
    <row r="265" spans="1:43" x14ac:dyDescent="0.2">
      <c r="A265" s="12" t="s">
        <v>42</v>
      </c>
      <c r="B265" s="12" t="s">
        <v>43</v>
      </c>
      <c r="C265" s="12">
        <v>86.14</v>
      </c>
      <c r="D265" s="12" t="s">
        <v>44</v>
      </c>
      <c r="E265" s="12"/>
      <c r="F265" s="12"/>
      <c r="G265" s="12" t="s">
        <v>44</v>
      </c>
      <c r="H265" s="12">
        <v>1</v>
      </c>
      <c r="I265" s="12" t="s">
        <v>45</v>
      </c>
      <c r="J265" s="12" t="s">
        <v>46</v>
      </c>
      <c r="K265" s="12">
        <v>265.5</v>
      </c>
      <c r="L265" s="12">
        <v>0.2</v>
      </c>
      <c r="M265" s="12" t="s">
        <v>47</v>
      </c>
      <c r="N265" s="12" t="s">
        <v>44</v>
      </c>
      <c r="O265" s="12" t="s">
        <v>44</v>
      </c>
      <c r="P265" s="12" t="s">
        <v>91</v>
      </c>
      <c r="Q265" s="12" t="s">
        <v>44</v>
      </c>
      <c r="R265" s="12">
        <v>1.2</v>
      </c>
      <c r="S265" s="13">
        <f t="shared" si="4"/>
        <v>15.41</v>
      </c>
      <c r="T265" s="12">
        <v>11</v>
      </c>
      <c r="U265" s="12" t="s">
        <v>44</v>
      </c>
      <c r="V265" s="12" t="s">
        <v>48</v>
      </c>
      <c r="W265" s="12" t="s">
        <v>44</v>
      </c>
      <c r="X265" s="12">
        <v>10</v>
      </c>
      <c r="Y265" s="12">
        <v>60</v>
      </c>
      <c r="Z265" s="12">
        <v>6</v>
      </c>
      <c r="AA265" s="12">
        <v>2000</v>
      </c>
      <c r="AB265" s="12" t="s">
        <v>49</v>
      </c>
      <c r="AC265" s="12" t="s">
        <v>50</v>
      </c>
      <c r="AD265" s="12">
        <v>1</v>
      </c>
      <c r="AE265" s="12">
        <v>0.10199999999999999</v>
      </c>
      <c r="AF265" s="12">
        <v>0.35799999999999998</v>
      </c>
      <c r="AG265" s="12">
        <v>-365</v>
      </c>
      <c r="AH265" s="12">
        <v>-2</v>
      </c>
      <c r="AI265" s="12">
        <v>0.23</v>
      </c>
      <c r="AJ265" s="12">
        <v>0.379</v>
      </c>
      <c r="AK265" s="12">
        <v>-1080</v>
      </c>
      <c r="AL265" s="12">
        <v>120</v>
      </c>
      <c r="AM265" s="12" t="s">
        <v>44</v>
      </c>
      <c r="AN265" s="12">
        <v>5.8</v>
      </c>
      <c r="AO265" s="12" t="s">
        <v>126</v>
      </c>
      <c r="AP265" s="12">
        <v>1</v>
      </c>
      <c r="AQ265" s="12">
        <v>166</v>
      </c>
    </row>
    <row r="266" spans="1:43" x14ac:dyDescent="0.2">
      <c r="A266" s="12" t="s">
        <v>42</v>
      </c>
      <c r="B266" s="12" t="s">
        <v>43</v>
      </c>
      <c r="C266" s="12">
        <v>86.14</v>
      </c>
      <c r="D266" s="12" t="s">
        <v>44</v>
      </c>
      <c r="E266" s="12"/>
      <c r="F266" s="12"/>
      <c r="G266" s="12" t="s">
        <v>44</v>
      </c>
      <c r="H266" s="12">
        <v>0.2</v>
      </c>
      <c r="I266" s="12" t="s">
        <v>45</v>
      </c>
      <c r="J266" s="12" t="s">
        <v>46</v>
      </c>
      <c r="K266" s="12">
        <v>265.5</v>
      </c>
      <c r="L266" s="12">
        <v>0.1</v>
      </c>
      <c r="M266" s="12" t="s">
        <v>47</v>
      </c>
      <c r="N266" s="12" t="s">
        <v>44</v>
      </c>
      <c r="O266" s="12" t="s">
        <v>44</v>
      </c>
      <c r="P266" s="12" t="s">
        <v>44</v>
      </c>
      <c r="Q266" s="12" t="s">
        <v>44</v>
      </c>
      <c r="R266" s="12">
        <v>0.3</v>
      </c>
      <c r="S266" s="13">
        <f t="shared" si="4"/>
        <v>6.16</v>
      </c>
      <c r="T266" s="12" t="s">
        <v>44</v>
      </c>
      <c r="U266" s="12" t="s">
        <v>44</v>
      </c>
      <c r="V266" s="12" t="s">
        <v>48</v>
      </c>
      <c r="W266" s="12" t="s">
        <v>44</v>
      </c>
      <c r="X266" s="12">
        <v>10</v>
      </c>
      <c r="Y266" s="12">
        <v>100</v>
      </c>
      <c r="Z266" s="12">
        <v>10.3</v>
      </c>
      <c r="AA266" s="12">
        <v>1000</v>
      </c>
      <c r="AB266" s="12" t="s">
        <v>49</v>
      </c>
      <c r="AC266" s="12" t="s">
        <v>52</v>
      </c>
      <c r="AD266" s="12">
        <v>1</v>
      </c>
      <c r="AE266" s="12">
        <v>0.10199999999999999</v>
      </c>
      <c r="AF266" s="12">
        <v>0.35799999999999998</v>
      </c>
      <c r="AG266" s="12">
        <v>-365</v>
      </c>
      <c r="AH266" s="12">
        <v>-1</v>
      </c>
      <c r="AI266" s="12">
        <v>0.18099999999999999</v>
      </c>
      <c r="AJ266" s="12">
        <v>0.33200000000000002</v>
      </c>
      <c r="AK266" s="12">
        <v>-340</v>
      </c>
      <c r="AL266" s="12">
        <v>45</v>
      </c>
      <c r="AM266" s="12" t="s">
        <v>44</v>
      </c>
      <c r="AN266" s="12">
        <v>5.8</v>
      </c>
      <c r="AO266" s="12" t="s">
        <v>101</v>
      </c>
      <c r="AP266" s="12">
        <v>1</v>
      </c>
      <c r="AQ266" s="12">
        <v>167</v>
      </c>
    </row>
    <row r="267" spans="1:43" x14ac:dyDescent="0.2">
      <c r="A267" s="12" t="s">
        <v>108</v>
      </c>
      <c r="B267" s="12" t="s">
        <v>109</v>
      </c>
      <c r="C267" s="12">
        <v>142.24</v>
      </c>
      <c r="D267" s="12" t="s">
        <v>44</v>
      </c>
      <c r="E267" s="12"/>
      <c r="F267" s="12"/>
      <c r="G267" s="12" t="s">
        <v>44</v>
      </c>
      <c r="H267" s="12">
        <v>2</v>
      </c>
      <c r="I267" s="12" t="s">
        <v>45</v>
      </c>
      <c r="J267" s="12" t="s">
        <v>46</v>
      </c>
      <c r="K267" s="12">
        <v>265.5</v>
      </c>
      <c r="L267" s="12">
        <v>0.2</v>
      </c>
      <c r="M267" s="12" t="s">
        <v>47</v>
      </c>
      <c r="N267" s="12" t="s">
        <v>44</v>
      </c>
      <c r="O267" s="12" t="s">
        <v>44</v>
      </c>
      <c r="P267" s="12" t="s">
        <v>44</v>
      </c>
      <c r="Q267" s="12" t="s">
        <v>44</v>
      </c>
      <c r="R267" s="12">
        <v>2.2000000000000002</v>
      </c>
      <c r="S267" s="13">
        <f t="shared" si="4"/>
        <v>18.670000000000002</v>
      </c>
      <c r="T267" s="12" t="s">
        <v>44</v>
      </c>
      <c r="U267" s="12" t="s">
        <v>44</v>
      </c>
      <c r="V267" s="12" t="s">
        <v>48</v>
      </c>
      <c r="W267" s="12" t="s">
        <v>44</v>
      </c>
      <c r="X267" s="12">
        <v>3</v>
      </c>
      <c r="Y267" s="12">
        <v>65</v>
      </c>
      <c r="Z267" s="12">
        <v>10</v>
      </c>
      <c r="AA267" s="12">
        <v>2000</v>
      </c>
      <c r="AB267" s="12" t="s">
        <v>49</v>
      </c>
      <c r="AC267" s="12" t="s">
        <v>52</v>
      </c>
      <c r="AD267" s="12">
        <v>1</v>
      </c>
      <c r="AE267" s="12">
        <v>0.10199999999999999</v>
      </c>
      <c r="AF267" s="12">
        <v>0.35799999999999998</v>
      </c>
      <c r="AG267" s="12">
        <v>-365</v>
      </c>
      <c r="AH267" s="12">
        <v>-1</v>
      </c>
      <c r="AI267" s="12">
        <v>0.18099999999999999</v>
      </c>
      <c r="AJ267" s="12">
        <v>0.33200000000000002</v>
      </c>
      <c r="AK267" s="12">
        <v>-340</v>
      </c>
      <c r="AL267" s="12">
        <v>45</v>
      </c>
      <c r="AM267" s="12" t="s">
        <v>44</v>
      </c>
      <c r="AN267" s="12">
        <v>5.8</v>
      </c>
      <c r="AO267" s="12" t="s">
        <v>110</v>
      </c>
      <c r="AP267" s="12">
        <v>1</v>
      </c>
      <c r="AQ267" s="12">
        <v>168</v>
      </c>
    </row>
    <row r="268" spans="1:43" x14ac:dyDescent="0.2">
      <c r="A268" s="12" t="s">
        <v>108</v>
      </c>
      <c r="B268" s="12" t="s">
        <v>109</v>
      </c>
      <c r="C268" s="12">
        <v>142.24</v>
      </c>
      <c r="D268" s="12" t="s">
        <v>44</v>
      </c>
      <c r="E268" s="12"/>
      <c r="F268" s="12"/>
      <c r="G268" s="12" t="s">
        <v>44</v>
      </c>
      <c r="H268" s="12">
        <v>2</v>
      </c>
      <c r="I268" s="12" t="s">
        <v>45</v>
      </c>
      <c r="J268" s="12" t="s">
        <v>46</v>
      </c>
      <c r="K268" s="12">
        <v>265.5</v>
      </c>
      <c r="L268" s="12">
        <v>0.1</v>
      </c>
      <c r="M268" s="12" t="s">
        <v>47</v>
      </c>
      <c r="N268" s="12" t="s">
        <v>44</v>
      </c>
      <c r="O268" s="12" t="s">
        <v>44</v>
      </c>
      <c r="P268" s="12" t="s">
        <v>44</v>
      </c>
      <c r="Q268" s="12" t="s">
        <v>44</v>
      </c>
      <c r="R268" s="12">
        <v>2.1</v>
      </c>
      <c r="S268" s="13">
        <f t="shared" si="4"/>
        <v>37.33</v>
      </c>
      <c r="T268" s="12" t="s">
        <v>44</v>
      </c>
      <c r="U268" s="12" t="s">
        <v>44</v>
      </c>
      <c r="V268" s="12" t="s">
        <v>48</v>
      </c>
      <c r="W268" s="12" t="s">
        <v>44</v>
      </c>
      <c r="X268" s="12">
        <v>3</v>
      </c>
      <c r="Y268" s="12">
        <v>65</v>
      </c>
      <c r="Z268" s="12">
        <v>10</v>
      </c>
      <c r="AA268" s="12">
        <v>2000</v>
      </c>
      <c r="AB268" s="12" t="s">
        <v>49</v>
      </c>
      <c r="AC268" s="12" t="s">
        <v>52</v>
      </c>
      <c r="AD268" s="12">
        <v>1</v>
      </c>
      <c r="AE268" s="12">
        <v>0.10199999999999999</v>
      </c>
      <c r="AF268" s="12">
        <v>0.35799999999999998</v>
      </c>
      <c r="AG268" s="12">
        <v>-365</v>
      </c>
      <c r="AH268" s="12">
        <v>-1</v>
      </c>
      <c r="AI268" s="12">
        <v>0.18099999999999999</v>
      </c>
      <c r="AJ268" s="12">
        <v>0.33200000000000002</v>
      </c>
      <c r="AK268" s="12">
        <v>-340</v>
      </c>
      <c r="AL268" s="12">
        <v>20</v>
      </c>
      <c r="AM268" s="12" t="s">
        <v>44</v>
      </c>
      <c r="AN268" s="12">
        <v>5.8</v>
      </c>
      <c r="AO268" s="12" t="s">
        <v>110</v>
      </c>
      <c r="AP268" s="12">
        <v>1</v>
      </c>
      <c r="AQ268" s="12">
        <v>169</v>
      </c>
    </row>
    <row r="269" spans="1:43" x14ac:dyDescent="0.2">
      <c r="A269" s="12" t="s">
        <v>108</v>
      </c>
      <c r="B269" s="12" t="s">
        <v>109</v>
      </c>
      <c r="C269" s="12">
        <v>142.24</v>
      </c>
      <c r="D269" s="12" t="s">
        <v>44</v>
      </c>
      <c r="E269" s="12"/>
      <c r="F269" s="12"/>
      <c r="G269" s="12" t="s">
        <v>44</v>
      </c>
      <c r="H269" s="12">
        <v>1.5</v>
      </c>
      <c r="I269" s="12" t="s">
        <v>45</v>
      </c>
      <c r="J269" s="12" t="s">
        <v>46</v>
      </c>
      <c r="K269" s="12">
        <v>265.5</v>
      </c>
      <c r="L269" s="12">
        <v>0.2</v>
      </c>
      <c r="M269" s="12" t="s">
        <v>47</v>
      </c>
      <c r="N269" s="12" t="s">
        <v>44</v>
      </c>
      <c r="O269" s="12" t="s">
        <v>44</v>
      </c>
      <c r="P269" s="12" t="s">
        <v>44</v>
      </c>
      <c r="Q269" s="12" t="s">
        <v>44</v>
      </c>
      <c r="R269" s="12">
        <v>1.7</v>
      </c>
      <c r="S269" s="13">
        <f t="shared" si="4"/>
        <v>14</v>
      </c>
      <c r="T269" s="12" t="s">
        <v>44</v>
      </c>
      <c r="U269" s="12" t="s">
        <v>44</v>
      </c>
      <c r="V269" s="12" t="s">
        <v>48</v>
      </c>
      <c r="W269" s="12" t="s">
        <v>44</v>
      </c>
      <c r="X269" s="12">
        <v>3</v>
      </c>
      <c r="Y269" s="12">
        <v>65</v>
      </c>
      <c r="Z269" s="12">
        <v>10</v>
      </c>
      <c r="AA269" s="12">
        <v>2000</v>
      </c>
      <c r="AB269" s="12" t="s">
        <v>49</v>
      </c>
      <c r="AC269" s="12" t="s">
        <v>52</v>
      </c>
      <c r="AD269" s="12">
        <v>1</v>
      </c>
      <c r="AE269" s="12">
        <v>0.10199999999999999</v>
      </c>
      <c r="AF269" s="12">
        <v>0.35799999999999998</v>
      </c>
      <c r="AG269" s="12">
        <v>-365</v>
      </c>
      <c r="AH269" s="12">
        <v>-1</v>
      </c>
      <c r="AI269" s="12">
        <v>0.18099999999999999</v>
      </c>
      <c r="AJ269" s="12">
        <v>0.33200000000000002</v>
      </c>
      <c r="AK269" s="12">
        <v>-340</v>
      </c>
      <c r="AL269" s="12">
        <v>90</v>
      </c>
      <c r="AM269" s="12" t="s">
        <v>44</v>
      </c>
      <c r="AN269" s="12">
        <v>5.8</v>
      </c>
      <c r="AO269" s="12" t="s">
        <v>110</v>
      </c>
      <c r="AP269" s="12">
        <v>1</v>
      </c>
      <c r="AQ269" s="12">
        <v>170</v>
      </c>
    </row>
    <row r="270" spans="1:43" x14ac:dyDescent="0.2">
      <c r="A270" s="12" t="s">
        <v>108</v>
      </c>
      <c r="B270" s="12" t="s">
        <v>109</v>
      </c>
      <c r="C270" s="12">
        <v>142.24</v>
      </c>
      <c r="D270" s="12" t="s">
        <v>44</v>
      </c>
      <c r="E270" s="12"/>
      <c r="F270" s="12"/>
      <c r="G270" s="12" t="s">
        <v>44</v>
      </c>
      <c r="H270" s="12">
        <v>1</v>
      </c>
      <c r="I270" s="12" t="s">
        <v>45</v>
      </c>
      <c r="J270" s="12" t="s">
        <v>46</v>
      </c>
      <c r="K270" s="12">
        <v>265.5</v>
      </c>
      <c r="L270" s="12">
        <v>1</v>
      </c>
      <c r="M270" s="12" t="s">
        <v>47</v>
      </c>
      <c r="N270" s="12" t="s">
        <v>44</v>
      </c>
      <c r="O270" s="12" t="s">
        <v>44</v>
      </c>
      <c r="P270" s="12" t="s">
        <v>44</v>
      </c>
      <c r="Q270" s="12" t="s">
        <v>44</v>
      </c>
      <c r="R270" s="12">
        <v>2</v>
      </c>
      <c r="S270" s="13">
        <f t="shared" si="4"/>
        <v>1.87</v>
      </c>
      <c r="T270" s="12" t="s">
        <v>44</v>
      </c>
      <c r="U270" s="12" t="s">
        <v>44</v>
      </c>
      <c r="V270" s="12" t="s">
        <v>48</v>
      </c>
      <c r="W270" s="12" t="s">
        <v>44</v>
      </c>
      <c r="X270" s="12">
        <v>3</v>
      </c>
      <c r="Y270" s="12">
        <v>60</v>
      </c>
      <c r="Z270" s="12">
        <v>10</v>
      </c>
      <c r="AA270" s="12">
        <v>2000</v>
      </c>
      <c r="AB270" s="12" t="s">
        <v>49</v>
      </c>
      <c r="AC270" s="12" t="s">
        <v>52</v>
      </c>
      <c r="AD270" s="12">
        <v>1</v>
      </c>
      <c r="AE270" s="12">
        <v>0.10199999999999999</v>
      </c>
      <c r="AF270" s="12">
        <v>0.35799999999999998</v>
      </c>
      <c r="AG270" s="12">
        <v>-365</v>
      </c>
      <c r="AH270" s="12">
        <v>-1</v>
      </c>
      <c r="AI270" s="12">
        <v>0.18099999999999999</v>
      </c>
      <c r="AJ270" s="12">
        <v>0.33200000000000002</v>
      </c>
      <c r="AK270" s="12">
        <v>-340</v>
      </c>
      <c r="AL270" s="12">
        <v>180</v>
      </c>
      <c r="AM270" s="12" t="s">
        <v>44</v>
      </c>
      <c r="AN270" s="12">
        <v>5.8</v>
      </c>
      <c r="AO270" s="12" t="s">
        <v>110</v>
      </c>
      <c r="AP270" s="12">
        <v>1</v>
      </c>
      <c r="AQ270" s="12">
        <v>171</v>
      </c>
    </row>
    <row r="271" spans="1:43" x14ac:dyDescent="0.2">
      <c r="A271" s="12" t="s">
        <v>42</v>
      </c>
      <c r="B271" s="12" t="s">
        <v>43</v>
      </c>
      <c r="C271" s="12">
        <v>86.14</v>
      </c>
      <c r="D271" s="12" t="s">
        <v>44</v>
      </c>
      <c r="E271" s="12"/>
      <c r="F271" s="12"/>
      <c r="G271" s="12" t="s">
        <v>44</v>
      </c>
      <c r="H271" s="12">
        <v>2.64</v>
      </c>
      <c r="I271" s="12" t="s">
        <v>116</v>
      </c>
      <c r="J271" s="12" t="s">
        <v>117</v>
      </c>
      <c r="K271" s="12">
        <v>423.7</v>
      </c>
      <c r="L271" s="12">
        <v>2.8000000000000001E-2</v>
      </c>
      <c r="M271" s="12" t="s">
        <v>111</v>
      </c>
      <c r="N271" s="12" t="s">
        <v>61</v>
      </c>
      <c r="O271" s="12">
        <v>0.01</v>
      </c>
      <c r="P271" s="12" t="s">
        <v>118</v>
      </c>
      <c r="Q271" s="12">
        <v>4</v>
      </c>
      <c r="R271" s="12">
        <v>2.6680000000000001</v>
      </c>
      <c r="S271" s="13">
        <f t="shared" si="4"/>
        <v>463.77</v>
      </c>
      <c r="T271" s="12" t="s">
        <v>44</v>
      </c>
      <c r="U271" s="12" t="s">
        <v>44</v>
      </c>
      <c r="V271" s="12" t="s">
        <v>48</v>
      </c>
      <c r="W271" s="12" t="s">
        <v>44</v>
      </c>
      <c r="X271" s="12">
        <v>10</v>
      </c>
      <c r="Y271" s="12">
        <v>25</v>
      </c>
      <c r="Z271" s="12">
        <v>5</v>
      </c>
      <c r="AA271" s="12">
        <v>500</v>
      </c>
      <c r="AB271" s="12" t="s">
        <v>49</v>
      </c>
      <c r="AC271" s="12" t="s">
        <v>52</v>
      </c>
      <c r="AD271" s="12">
        <v>1</v>
      </c>
      <c r="AE271" s="12">
        <v>0.10199999999999999</v>
      </c>
      <c r="AF271" s="12">
        <v>0.35799999999999998</v>
      </c>
      <c r="AG271" s="12">
        <v>-365</v>
      </c>
      <c r="AH271" s="12">
        <v>-1</v>
      </c>
      <c r="AI271" s="12">
        <v>0.18099999999999999</v>
      </c>
      <c r="AJ271" s="12">
        <v>0.33200000000000002</v>
      </c>
      <c r="AK271" s="12">
        <v>-340</v>
      </c>
      <c r="AL271" s="12">
        <v>480</v>
      </c>
      <c r="AM271" s="12" t="s">
        <v>44</v>
      </c>
      <c r="AN271" s="12">
        <v>5.8</v>
      </c>
      <c r="AO271" s="12" t="s">
        <v>121</v>
      </c>
      <c r="AP271" s="12">
        <v>3</v>
      </c>
      <c r="AQ271" s="12">
        <v>172</v>
      </c>
    </row>
    <row r="272" spans="1:43" x14ac:dyDescent="0.2">
      <c r="A272" s="12" t="s">
        <v>54</v>
      </c>
      <c r="B272" s="12" t="s">
        <v>55</v>
      </c>
      <c r="C272" s="12">
        <v>108.14</v>
      </c>
      <c r="D272" s="12" t="s">
        <v>44</v>
      </c>
      <c r="E272" s="12"/>
      <c r="F272" s="12"/>
      <c r="G272" s="12" t="s">
        <v>44</v>
      </c>
      <c r="H272" s="12">
        <v>0.9</v>
      </c>
      <c r="I272" s="12" t="s">
        <v>56</v>
      </c>
      <c r="J272" s="12" t="s">
        <v>57</v>
      </c>
      <c r="K272" s="12">
        <v>203.02</v>
      </c>
      <c r="L272" s="12">
        <v>0.1</v>
      </c>
      <c r="M272" s="12" t="s">
        <v>47</v>
      </c>
      <c r="N272" s="12" t="s">
        <v>44</v>
      </c>
      <c r="O272" s="12" t="s">
        <v>44</v>
      </c>
      <c r="P272" s="12" t="s">
        <v>44</v>
      </c>
      <c r="Q272" s="12" t="s">
        <v>44</v>
      </c>
      <c r="R272" s="12">
        <v>1</v>
      </c>
      <c r="S272" s="13">
        <f t="shared" si="4"/>
        <v>16.899999999999999</v>
      </c>
      <c r="T272" s="12" t="s">
        <v>44</v>
      </c>
      <c r="U272" s="12" t="s">
        <v>44</v>
      </c>
      <c r="V272" s="12" t="s">
        <v>48</v>
      </c>
      <c r="W272" s="12" t="s">
        <v>44</v>
      </c>
      <c r="X272" s="12">
        <v>5</v>
      </c>
      <c r="Y272" s="12">
        <v>80</v>
      </c>
      <c r="Z272" s="12">
        <v>10.3</v>
      </c>
      <c r="AA272" s="12">
        <v>1000</v>
      </c>
      <c r="AB272" s="12" t="s">
        <v>49</v>
      </c>
      <c r="AC272" s="12" t="s">
        <v>50</v>
      </c>
      <c r="AD272" s="12">
        <v>1</v>
      </c>
      <c r="AE272" s="12">
        <v>0.10199999999999999</v>
      </c>
      <c r="AF272" s="12">
        <v>0.35799999999999998</v>
      </c>
      <c r="AG272" s="12">
        <v>-365</v>
      </c>
      <c r="AH272" s="12">
        <v>-2</v>
      </c>
      <c r="AI272" s="12">
        <v>0.23</v>
      </c>
      <c r="AJ272" s="12">
        <v>0.379</v>
      </c>
      <c r="AK272" s="12">
        <v>-1080</v>
      </c>
      <c r="AL272" s="12">
        <v>90</v>
      </c>
      <c r="AM272" s="12" t="s">
        <v>44</v>
      </c>
      <c r="AN272" s="12">
        <v>5.8</v>
      </c>
      <c r="AO272" s="12" t="s">
        <v>58</v>
      </c>
      <c r="AP272" s="12">
        <v>1</v>
      </c>
      <c r="AQ272" s="12">
        <v>178</v>
      </c>
    </row>
    <row r="273" spans="1:43" x14ac:dyDescent="0.2">
      <c r="A273" t="s">
        <v>42</v>
      </c>
      <c r="B273" t="s">
        <v>43</v>
      </c>
      <c r="C273">
        <v>86.14</v>
      </c>
      <c r="D273" t="s">
        <v>44</v>
      </c>
      <c r="G273" t="s">
        <v>44</v>
      </c>
      <c r="H273">
        <v>0.35</v>
      </c>
      <c r="I273" t="s">
        <v>45</v>
      </c>
      <c r="J273" t="s">
        <v>46</v>
      </c>
      <c r="K273">
        <v>265.5</v>
      </c>
      <c r="L273">
        <v>0.30599999999999999</v>
      </c>
      <c r="M273" t="s">
        <v>47</v>
      </c>
      <c r="N273" t="s">
        <v>44</v>
      </c>
      <c r="O273" t="s">
        <v>44</v>
      </c>
      <c r="P273" t="s">
        <v>44</v>
      </c>
      <c r="Q273" t="s">
        <v>44</v>
      </c>
      <c r="R273">
        <v>0.65600000000000003</v>
      </c>
      <c r="S273" s="5">
        <f t="shared" si="4"/>
        <v>3.53</v>
      </c>
      <c r="T273">
        <v>12</v>
      </c>
      <c r="U273" t="s">
        <v>44</v>
      </c>
      <c r="V273" t="s">
        <v>48</v>
      </c>
      <c r="W273" t="s">
        <v>44</v>
      </c>
      <c r="X273">
        <v>15</v>
      </c>
      <c r="Y273">
        <v>50</v>
      </c>
      <c r="Z273">
        <v>6</v>
      </c>
      <c r="AA273">
        <v>1000</v>
      </c>
      <c r="AB273" t="s">
        <v>49</v>
      </c>
      <c r="AC273" t="s">
        <v>50</v>
      </c>
      <c r="AD273">
        <v>1</v>
      </c>
      <c r="AE273">
        <v>0.10199999999999999</v>
      </c>
      <c r="AF273">
        <v>0.35799999999999998</v>
      </c>
      <c r="AG273">
        <v>-365</v>
      </c>
      <c r="AH273">
        <v>-2</v>
      </c>
      <c r="AI273">
        <v>0.23</v>
      </c>
      <c r="AJ273">
        <v>0.379</v>
      </c>
      <c r="AK273">
        <v>-1080</v>
      </c>
      <c r="AL273">
        <v>60</v>
      </c>
      <c r="AM273" t="s">
        <v>44</v>
      </c>
      <c r="AN273">
        <v>5.87</v>
      </c>
      <c r="AO273" t="s">
        <v>125</v>
      </c>
      <c r="AP273">
        <v>1</v>
      </c>
      <c r="AQ273">
        <v>160</v>
      </c>
    </row>
    <row r="274" spans="1:43" x14ac:dyDescent="0.2">
      <c r="A274" t="s">
        <v>42</v>
      </c>
      <c r="B274" t="s">
        <v>43</v>
      </c>
      <c r="C274">
        <v>86.14</v>
      </c>
      <c r="D274" t="s">
        <v>44</v>
      </c>
      <c r="G274" t="s">
        <v>44</v>
      </c>
      <c r="H274">
        <v>0.35</v>
      </c>
      <c r="I274" t="s">
        <v>45</v>
      </c>
      <c r="J274" t="s">
        <v>46</v>
      </c>
      <c r="K274">
        <v>265.5</v>
      </c>
      <c r="L274">
        <v>0.30599999999999999</v>
      </c>
      <c r="M274" t="s">
        <v>47</v>
      </c>
      <c r="N274" t="s">
        <v>44</v>
      </c>
      <c r="O274" t="s">
        <v>44</v>
      </c>
      <c r="P274" t="s">
        <v>44</v>
      </c>
      <c r="Q274" t="s">
        <v>44</v>
      </c>
      <c r="R274">
        <v>0.65600000000000003</v>
      </c>
      <c r="S274" s="5">
        <f t="shared" si="4"/>
        <v>3.53</v>
      </c>
      <c r="T274">
        <v>12</v>
      </c>
      <c r="U274" t="s">
        <v>44</v>
      </c>
      <c r="V274" t="s">
        <v>48</v>
      </c>
      <c r="W274" t="s">
        <v>44</v>
      </c>
      <c r="X274">
        <v>15</v>
      </c>
      <c r="Y274">
        <v>50</v>
      </c>
      <c r="Z274">
        <v>6</v>
      </c>
      <c r="AA274">
        <v>1000</v>
      </c>
      <c r="AB274" t="s">
        <v>69</v>
      </c>
      <c r="AC274" t="s">
        <v>50</v>
      </c>
      <c r="AD274">
        <v>2</v>
      </c>
      <c r="AE274">
        <v>7.1999999999999995E-2</v>
      </c>
      <c r="AF274">
        <v>0.42799999999999999</v>
      </c>
      <c r="AG274">
        <v>-1830</v>
      </c>
      <c r="AH274">
        <v>-2</v>
      </c>
      <c r="AI274">
        <v>0.23</v>
      </c>
      <c r="AJ274">
        <v>0.379</v>
      </c>
      <c r="AK274">
        <v>-1080</v>
      </c>
      <c r="AL274">
        <v>60</v>
      </c>
      <c r="AM274" t="s">
        <v>44</v>
      </c>
      <c r="AN274">
        <v>5.87</v>
      </c>
      <c r="AO274" t="s">
        <v>125</v>
      </c>
      <c r="AP274">
        <v>1</v>
      </c>
      <c r="AQ274">
        <v>161</v>
      </c>
    </row>
    <row r="275" spans="1:43" x14ac:dyDescent="0.2">
      <c r="A275" t="s">
        <v>42</v>
      </c>
      <c r="B275" t="s">
        <v>43</v>
      </c>
      <c r="C275">
        <v>86.14</v>
      </c>
      <c r="D275" t="s">
        <v>44</v>
      </c>
      <c r="G275" t="s">
        <v>44</v>
      </c>
      <c r="H275">
        <v>0.35</v>
      </c>
      <c r="I275" t="s">
        <v>45</v>
      </c>
      <c r="J275" t="s">
        <v>46</v>
      </c>
      <c r="K275">
        <v>265.5</v>
      </c>
      <c r="L275">
        <v>0.30599999999999999</v>
      </c>
      <c r="M275" t="s">
        <v>47</v>
      </c>
      <c r="N275" t="s">
        <v>44</v>
      </c>
      <c r="O275" t="s">
        <v>44</v>
      </c>
      <c r="P275" t="s">
        <v>44</v>
      </c>
      <c r="Q275" t="s">
        <v>44</v>
      </c>
      <c r="R275">
        <v>0.65600000000000003</v>
      </c>
      <c r="S275" s="5">
        <f t="shared" si="4"/>
        <v>3.53</v>
      </c>
      <c r="T275">
        <v>12</v>
      </c>
      <c r="U275" t="s">
        <v>44</v>
      </c>
      <c r="V275" t="s">
        <v>48</v>
      </c>
      <c r="W275" t="s">
        <v>44</v>
      </c>
      <c r="X275">
        <v>15</v>
      </c>
      <c r="Y275">
        <v>50</v>
      </c>
      <c r="Z275">
        <v>6</v>
      </c>
      <c r="AA275">
        <v>1000</v>
      </c>
      <c r="AB275" t="s">
        <v>69</v>
      </c>
      <c r="AC275" t="s">
        <v>52</v>
      </c>
      <c r="AD275">
        <v>2</v>
      </c>
      <c r="AE275">
        <v>7.1999999999999995E-2</v>
      </c>
      <c r="AF275">
        <v>0.42799999999999999</v>
      </c>
      <c r="AG275">
        <v>-1830</v>
      </c>
      <c r="AH275">
        <v>-1</v>
      </c>
      <c r="AI275">
        <v>0.18099999999999999</v>
      </c>
      <c r="AJ275">
        <v>0.33200000000000002</v>
      </c>
      <c r="AK275">
        <v>-340</v>
      </c>
      <c r="AL275">
        <v>60</v>
      </c>
      <c r="AM275" t="s">
        <v>44</v>
      </c>
      <c r="AN275">
        <v>5.87</v>
      </c>
      <c r="AO275" t="s">
        <v>125</v>
      </c>
      <c r="AP275">
        <v>1</v>
      </c>
      <c r="AQ275">
        <v>162</v>
      </c>
    </row>
    <row r="276" spans="1:43" x14ac:dyDescent="0.2">
      <c r="A276" t="s">
        <v>42</v>
      </c>
      <c r="B276" t="s">
        <v>43</v>
      </c>
      <c r="C276">
        <v>86.14</v>
      </c>
      <c r="D276" t="s">
        <v>44</v>
      </c>
      <c r="G276" t="s">
        <v>44</v>
      </c>
      <c r="H276">
        <v>0.35</v>
      </c>
      <c r="I276" t="s">
        <v>45</v>
      </c>
      <c r="J276" t="s">
        <v>46</v>
      </c>
      <c r="K276">
        <v>265.5</v>
      </c>
      <c r="L276">
        <v>0.30599999999999999</v>
      </c>
      <c r="M276" t="s">
        <v>47</v>
      </c>
      <c r="N276" t="s">
        <v>44</v>
      </c>
      <c r="O276" t="s">
        <v>44</v>
      </c>
      <c r="P276" t="s">
        <v>44</v>
      </c>
      <c r="Q276" t="s">
        <v>44</v>
      </c>
      <c r="R276">
        <v>0.65600000000000003</v>
      </c>
      <c r="S276" s="5">
        <f t="shared" si="4"/>
        <v>3.53</v>
      </c>
      <c r="T276">
        <v>12</v>
      </c>
      <c r="U276" t="s">
        <v>44</v>
      </c>
      <c r="V276" t="s">
        <v>48</v>
      </c>
      <c r="W276" t="s">
        <v>44</v>
      </c>
      <c r="X276">
        <v>15</v>
      </c>
      <c r="Y276">
        <v>50</v>
      </c>
      <c r="Z276">
        <v>6</v>
      </c>
      <c r="AA276">
        <v>1000</v>
      </c>
      <c r="AB276" t="s">
        <v>49</v>
      </c>
      <c r="AC276" t="s">
        <v>52</v>
      </c>
      <c r="AD276">
        <v>1</v>
      </c>
      <c r="AE276">
        <v>0.10199999999999999</v>
      </c>
      <c r="AF276">
        <v>0.35799999999999998</v>
      </c>
      <c r="AG276">
        <v>-365</v>
      </c>
      <c r="AH276">
        <v>-1</v>
      </c>
      <c r="AI276">
        <v>0.18099999999999999</v>
      </c>
      <c r="AJ276">
        <v>0.33200000000000002</v>
      </c>
      <c r="AK276">
        <v>-340</v>
      </c>
      <c r="AL276">
        <v>60</v>
      </c>
      <c r="AM276" t="s">
        <v>44</v>
      </c>
      <c r="AN276">
        <v>5.87</v>
      </c>
      <c r="AO276" t="s">
        <v>125</v>
      </c>
      <c r="AP276">
        <v>1</v>
      </c>
      <c r="AQ276">
        <v>163</v>
      </c>
    </row>
    <row r="277" spans="1:43" x14ac:dyDescent="0.2">
      <c r="A277" t="s">
        <v>42</v>
      </c>
      <c r="B277" t="s">
        <v>43</v>
      </c>
      <c r="C277">
        <v>86.14</v>
      </c>
      <c r="D277" t="s">
        <v>44</v>
      </c>
      <c r="G277" t="s">
        <v>44</v>
      </c>
      <c r="H277">
        <v>1</v>
      </c>
      <c r="I277" t="s">
        <v>45</v>
      </c>
      <c r="J277" t="s">
        <v>46</v>
      </c>
      <c r="K277">
        <v>265.5</v>
      </c>
      <c r="L277">
        <v>0.13</v>
      </c>
      <c r="M277" t="s">
        <v>113</v>
      </c>
      <c r="N277" t="s">
        <v>44</v>
      </c>
      <c r="O277" t="s">
        <v>44</v>
      </c>
      <c r="P277" t="s">
        <v>85</v>
      </c>
      <c r="Q277">
        <v>0.2</v>
      </c>
      <c r="R277">
        <v>1.1299999999999999</v>
      </c>
      <c r="S277" s="5">
        <f t="shared" si="4"/>
        <v>23.71</v>
      </c>
      <c r="T277" t="s">
        <v>44</v>
      </c>
      <c r="U277" t="s">
        <v>44</v>
      </c>
      <c r="V277" t="s">
        <v>48</v>
      </c>
      <c r="W277" t="s">
        <v>44</v>
      </c>
      <c r="X277" t="s">
        <v>44</v>
      </c>
      <c r="Y277">
        <v>25</v>
      </c>
      <c r="Z277">
        <v>10</v>
      </c>
      <c r="AA277">
        <v>3000</v>
      </c>
      <c r="AB277" t="s">
        <v>69</v>
      </c>
      <c r="AC277" t="s">
        <v>50</v>
      </c>
      <c r="AD277">
        <v>2</v>
      </c>
      <c r="AE277">
        <v>7.1999999999999995E-2</v>
      </c>
      <c r="AF277">
        <v>0.42799999999999999</v>
      </c>
      <c r="AG277">
        <v>-1830</v>
      </c>
      <c r="AH277">
        <v>-2</v>
      </c>
      <c r="AI277">
        <v>0.23</v>
      </c>
      <c r="AJ277">
        <v>0.379</v>
      </c>
      <c r="AK277">
        <v>-1080</v>
      </c>
      <c r="AL277">
        <v>10</v>
      </c>
      <c r="AM277" t="s">
        <v>44</v>
      </c>
      <c r="AN277">
        <v>5.9</v>
      </c>
      <c r="AO277" t="s">
        <v>99</v>
      </c>
      <c r="AP277">
        <v>1</v>
      </c>
      <c r="AQ277">
        <v>158</v>
      </c>
    </row>
    <row r="278" spans="1:43" x14ac:dyDescent="0.2">
      <c r="A278" t="s">
        <v>42</v>
      </c>
      <c r="B278" t="s">
        <v>43</v>
      </c>
      <c r="C278">
        <v>86.14</v>
      </c>
      <c r="D278" t="s">
        <v>44</v>
      </c>
      <c r="G278" t="s">
        <v>44</v>
      </c>
      <c r="H278">
        <v>2.64</v>
      </c>
      <c r="I278" t="s">
        <v>116</v>
      </c>
      <c r="J278" t="s">
        <v>117</v>
      </c>
      <c r="K278">
        <v>423.7</v>
      </c>
      <c r="L278">
        <v>2.8000000000000001E-2</v>
      </c>
      <c r="M278" t="s">
        <v>111</v>
      </c>
      <c r="N278" t="s">
        <v>61</v>
      </c>
      <c r="O278">
        <v>0.01</v>
      </c>
      <c r="P278" t="s">
        <v>118</v>
      </c>
      <c r="Q278">
        <v>4</v>
      </c>
      <c r="R278">
        <v>2.6680000000000001</v>
      </c>
      <c r="S278" s="5">
        <f t="shared" si="4"/>
        <v>463.77</v>
      </c>
      <c r="T278" t="s">
        <v>44</v>
      </c>
      <c r="U278" t="s">
        <v>44</v>
      </c>
      <c r="V278" t="s">
        <v>48</v>
      </c>
      <c r="W278" t="s">
        <v>44</v>
      </c>
      <c r="X278">
        <v>10</v>
      </c>
      <c r="Y278">
        <v>25</v>
      </c>
      <c r="Z278">
        <v>5</v>
      </c>
      <c r="AA278">
        <v>500</v>
      </c>
      <c r="AB278" t="s">
        <v>69</v>
      </c>
      <c r="AC278" t="s">
        <v>52</v>
      </c>
      <c r="AD278">
        <v>2</v>
      </c>
      <c r="AE278">
        <v>7.1999999999999995E-2</v>
      </c>
      <c r="AF278">
        <v>0.42799999999999999</v>
      </c>
      <c r="AG278">
        <v>-1830</v>
      </c>
      <c r="AH278">
        <v>-1</v>
      </c>
      <c r="AI278">
        <v>0.18099999999999999</v>
      </c>
      <c r="AJ278">
        <v>0.33200000000000002</v>
      </c>
      <c r="AK278">
        <v>-340</v>
      </c>
      <c r="AL278">
        <v>480</v>
      </c>
      <c r="AM278" t="s">
        <v>44</v>
      </c>
      <c r="AN278">
        <v>5.9</v>
      </c>
      <c r="AO278" t="s">
        <v>121</v>
      </c>
      <c r="AP278">
        <v>3</v>
      </c>
      <c r="AQ278">
        <v>159</v>
      </c>
    </row>
    <row r="279" spans="1:43" x14ac:dyDescent="0.2">
      <c r="A279" t="s">
        <v>63</v>
      </c>
      <c r="B279" t="s">
        <v>64</v>
      </c>
      <c r="C279">
        <v>228.29</v>
      </c>
      <c r="D279" t="s">
        <v>44</v>
      </c>
      <c r="G279" t="s">
        <v>44</v>
      </c>
      <c r="H279">
        <v>1</v>
      </c>
      <c r="I279" t="s">
        <v>45</v>
      </c>
      <c r="J279" t="s">
        <v>46</v>
      </c>
      <c r="K279">
        <v>265.5</v>
      </c>
      <c r="L279">
        <v>0.15</v>
      </c>
      <c r="M279" t="s">
        <v>47</v>
      </c>
      <c r="N279" t="s">
        <v>44</v>
      </c>
      <c r="O279" t="s">
        <v>44</v>
      </c>
      <c r="P279" t="s">
        <v>44</v>
      </c>
      <c r="Q279" t="s">
        <v>44</v>
      </c>
      <c r="R279">
        <v>1.1499999999999999</v>
      </c>
      <c r="S279" s="5">
        <f t="shared" si="4"/>
        <v>7.75</v>
      </c>
      <c r="T279" t="s">
        <v>44</v>
      </c>
      <c r="U279" t="s">
        <v>44</v>
      </c>
      <c r="V279" t="s">
        <v>48</v>
      </c>
      <c r="W279" t="s">
        <v>44</v>
      </c>
      <c r="X279" t="s">
        <v>44</v>
      </c>
      <c r="Y279" t="s">
        <v>44</v>
      </c>
      <c r="Z279">
        <v>3.1</v>
      </c>
      <c r="AA279">
        <v>5.8659999999999997</v>
      </c>
      <c r="AB279" t="s">
        <v>49</v>
      </c>
      <c r="AC279" t="s">
        <v>52</v>
      </c>
      <c r="AD279">
        <v>1</v>
      </c>
      <c r="AE279">
        <v>0.10199999999999999</v>
      </c>
      <c r="AF279">
        <v>0.35799999999999998</v>
      </c>
      <c r="AG279">
        <v>-365</v>
      </c>
      <c r="AH279">
        <v>-1</v>
      </c>
      <c r="AI279">
        <v>0.18099999999999999</v>
      </c>
      <c r="AJ279">
        <v>0.33200000000000002</v>
      </c>
      <c r="AK279">
        <v>-340</v>
      </c>
      <c r="AL279">
        <v>60</v>
      </c>
      <c r="AM279" t="s">
        <v>44</v>
      </c>
      <c r="AN279">
        <v>6</v>
      </c>
      <c r="AO279" t="s">
        <v>65</v>
      </c>
      <c r="AP279">
        <v>1</v>
      </c>
      <c r="AQ279">
        <v>155</v>
      </c>
    </row>
    <row r="280" spans="1:43" x14ac:dyDescent="0.2">
      <c r="A280" t="s">
        <v>42</v>
      </c>
      <c r="B280" t="s">
        <v>43</v>
      </c>
      <c r="C280">
        <v>86.14</v>
      </c>
      <c r="D280" t="s">
        <v>44</v>
      </c>
      <c r="G280" t="s">
        <v>44</v>
      </c>
      <c r="H280">
        <v>1.5</v>
      </c>
      <c r="I280" t="s">
        <v>45</v>
      </c>
      <c r="J280" t="s">
        <v>46</v>
      </c>
      <c r="K280">
        <v>265.5</v>
      </c>
      <c r="L280">
        <v>0.153</v>
      </c>
      <c r="M280" t="s">
        <v>98</v>
      </c>
      <c r="N280" t="s">
        <v>44</v>
      </c>
      <c r="O280" t="s">
        <v>44</v>
      </c>
      <c r="P280" t="s">
        <v>44</v>
      </c>
      <c r="Q280" t="s">
        <v>44</v>
      </c>
      <c r="R280">
        <v>1.653</v>
      </c>
      <c r="S280" s="5">
        <f t="shared" si="4"/>
        <v>30.22</v>
      </c>
      <c r="T280" t="s">
        <v>44</v>
      </c>
      <c r="U280" t="s">
        <v>44</v>
      </c>
      <c r="V280" t="s">
        <v>48</v>
      </c>
      <c r="W280" t="s">
        <v>44</v>
      </c>
      <c r="X280" t="s">
        <v>44</v>
      </c>
      <c r="Y280" t="s">
        <v>44</v>
      </c>
      <c r="Z280">
        <v>10</v>
      </c>
      <c r="AA280">
        <v>1000</v>
      </c>
      <c r="AB280" t="s">
        <v>49</v>
      </c>
      <c r="AC280" t="s">
        <v>50</v>
      </c>
      <c r="AD280">
        <v>1</v>
      </c>
      <c r="AE280">
        <v>0.10199999999999999</v>
      </c>
      <c r="AF280">
        <v>0.35799999999999998</v>
      </c>
      <c r="AG280">
        <v>-365</v>
      </c>
      <c r="AH280">
        <v>-2</v>
      </c>
      <c r="AI280">
        <v>0.23</v>
      </c>
      <c r="AJ280">
        <v>0.379</v>
      </c>
      <c r="AK280">
        <v>-1080</v>
      </c>
      <c r="AL280">
        <v>30</v>
      </c>
      <c r="AM280" t="s">
        <v>44</v>
      </c>
      <c r="AN280">
        <v>6</v>
      </c>
      <c r="AO280" t="s">
        <v>105</v>
      </c>
      <c r="AP280">
        <v>1</v>
      </c>
      <c r="AQ280">
        <v>156</v>
      </c>
    </row>
    <row r="281" spans="1:43" x14ac:dyDescent="0.2">
      <c r="A281" t="s">
        <v>122</v>
      </c>
      <c r="B281" t="s">
        <v>123</v>
      </c>
      <c r="C281">
        <v>160.26</v>
      </c>
      <c r="D281" t="s">
        <v>44</v>
      </c>
      <c r="G281" t="s">
        <v>44</v>
      </c>
      <c r="H281">
        <v>2</v>
      </c>
      <c r="I281" t="s">
        <v>45</v>
      </c>
      <c r="J281" t="s">
        <v>46</v>
      </c>
      <c r="K281">
        <v>265.5</v>
      </c>
      <c r="L281">
        <v>0.1</v>
      </c>
      <c r="M281" t="s">
        <v>47</v>
      </c>
      <c r="N281" t="s">
        <v>44</v>
      </c>
      <c r="O281" t="s">
        <v>44</v>
      </c>
      <c r="P281" t="s">
        <v>44</v>
      </c>
      <c r="Q281" t="s">
        <v>44</v>
      </c>
      <c r="R281">
        <v>2.1</v>
      </c>
      <c r="S281" s="5">
        <f t="shared" si="4"/>
        <v>33.130000000000003</v>
      </c>
      <c r="T281" t="s">
        <v>44</v>
      </c>
      <c r="U281" t="s">
        <v>44</v>
      </c>
      <c r="V281" t="s">
        <v>48</v>
      </c>
      <c r="W281" t="s">
        <v>44</v>
      </c>
      <c r="X281">
        <v>30</v>
      </c>
      <c r="Y281">
        <v>22</v>
      </c>
      <c r="Z281">
        <v>7</v>
      </c>
      <c r="AA281">
        <v>2000</v>
      </c>
      <c r="AB281" t="s">
        <v>49</v>
      </c>
      <c r="AC281" t="s">
        <v>52</v>
      </c>
      <c r="AD281">
        <v>1</v>
      </c>
      <c r="AE281">
        <v>0.10199999999999999</v>
      </c>
      <c r="AF281">
        <v>0.35799999999999998</v>
      </c>
      <c r="AG281">
        <v>-365</v>
      </c>
      <c r="AH281">
        <v>-1</v>
      </c>
      <c r="AI281">
        <v>0.18099999999999999</v>
      </c>
      <c r="AJ281">
        <v>0.33200000000000002</v>
      </c>
      <c r="AK281">
        <v>-340</v>
      </c>
      <c r="AL281">
        <v>30</v>
      </c>
      <c r="AM281" t="s">
        <v>44</v>
      </c>
      <c r="AN281">
        <v>6</v>
      </c>
      <c r="AO281" t="s">
        <v>124</v>
      </c>
      <c r="AP281">
        <v>1</v>
      </c>
      <c r="AQ281">
        <v>157</v>
      </c>
    </row>
    <row r="282" spans="1:43" x14ac:dyDescent="0.2">
      <c r="A282" s="12" t="s">
        <v>63</v>
      </c>
      <c r="B282" s="12" t="s">
        <v>64</v>
      </c>
      <c r="C282" s="12">
        <v>228.29</v>
      </c>
      <c r="D282" s="12" t="s">
        <v>44</v>
      </c>
      <c r="E282" s="12"/>
      <c r="F282" s="12"/>
      <c r="G282" s="12" t="s">
        <v>44</v>
      </c>
      <c r="H282" s="12">
        <v>1</v>
      </c>
      <c r="I282" s="12" t="s">
        <v>45</v>
      </c>
      <c r="J282" s="12" t="s">
        <v>46</v>
      </c>
      <c r="K282" s="12">
        <v>265.5</v>
      </c>
      <c r="L282" s="12">
        <v>0.15</v>
      </c>
      <c r="M282" s="12" t="s">
        <v>47</v>
      </c>
      <c r="N282" s="12" t="s">
        <v>44</v>
      </c>
      <c r="O282" s="12" t="s">
        <v>44</v>
      </c>
      <c r="P282" s="12" t="s">
        <v>44</v>
      </c>
      <c r="Q282" s="12" t="s">
        <v>44</v>
      </c>
      <c r="R282" s="12">
        <v>1.1499999999999999</v>
      </c>
      <c r="S282" s="13">
        <f t="shared" si="4"/>
        <v>7.75</v>
      </c>
      <c r="T282" s="12" t="s">
        <v>44</v>
      </c>
      <c r="U282" s="12" t="s">
        <v>44</v>
      </c>
      <c r="V282" s="12" t="s">
        <v>48</v>
      </c>
      <c r="W282" s="12" t="s">
        <v>44</v>
      </c>
      <c r="X282" s="12" t="s">
        <v>44</v>
      </c>
      <c r="Y282" s="12" t="s">
        <v>44</v>
      </c>
      <c r="Z282" s="12">
        <v>4.4800000000000004</v>
      </c>
      <c r="AA282" s="12">
        <v>0.58660000000000001</v>
      </c>
      <c r="AB282" s="12" t="s">
        <v>49</v>
      </c>
      <c r="AC282" s="12" t="s">
        <v>52</v>
      </c>
      <c r="AD282" s="12">
        <v>1</v>
      </c>
      <c r="AE282" s="12">
        <v>0.10199999999999999</v>
      </c>
      <c r="AF282" s="12">
        <v>0.35799999999999998</v>
      </c>
      <c r="AG282" s="12">
        <v>-365</v>
      </c>
      <c r="AH282" s="12">
        <v>-1</v>
      </c>
      <c r="AI282" s="12">
        <v>0.18099999999999999</v>
      </c>
      <c r="AJ282" s="12">
        <v>0.33200000000000002</v>
      </c>
      <c r="AK282" s="12">
        <v>-340</v>
      </c>
      <c r="AL282" s="12">
        <v>60</v>
      </c>
      <c r="AM282" s="12" t="s">
        <v>44</v>
      </c>
      <c r="AN282" s="12">
        <v>6.1</v>
      </c>
      <c r="AO282" s="12" t="s">
        <v>65</v>
      </c>
      <c r="AP282" s="12">
        <v>1</v>
      </c>
      <c r="AQ282" s="12">
        <v>150</v>
      </c>
    </row>
    <row r="283" spans="1:43" x14ac:dyDescent="0.2">
      <c r="A283" s="12" t="s">
        <v>63</v>
      </c>
      <c r="B283" s="12" t="s">
        <v>64</v>
      </c>
      <c r="C283" s="12">
        <v>228.29</v>
      </c>
      <c r="D283" s="12" t="s">
        <v>44</v>
      </c>
      <c r="E283" s="12"/>
      <c r="F283" s="12"/>
      <c r="G283" s="12" t="s">
        <v>44</v>
      </c>
      <c r="H283" s="12">
        <v>1</v>
      </c>
      <c r="I283" s="12" t="s">
        <v>45</v>
      </c>
      <c r="J283" s="12" t="s">
        <v>46</v>
      </c>
      <c r="K283" s="12">
        <v>265.5</v>
      </c>
      <c r="L283" s="12">
        <v>0.15</v>
      </c>
      <c r="M283" s="12" t="s">
        <v>47</v>
      </c>
      <c r="N283" s="12" t="s">
        <v>44</v>
      </c>
      <c r="O283" s="12" t="s">
        <v>44</v>
      </c>
      <c r="P283" s="12" t="s">
        <v>44</v>
      </c>
      <c r="Q283" s="12" t="s">
        <v>44</v>
      </c>
      <c r="R283" s="12">
        <v>1.1499999999999999</v>
      </c>
      <c r="S283" s="13">
        <f t="shared" si="4"/>
        <v>7.75</v>
      </c>
      <c r="T283" s="12" t="s">
        <v>44</v>
      </c>
      <c r="U283" s="12" t="s">
        <v>44</v>
      </c>
      <c r="V283" s="12" t="s">
        <v>48</v>
      </c>
      <c r="W283" s="12" t="s">
        <v>44</v>
      </c>
      <c r="X283" s="12" t="s">
        <v>44</v>
      </c>
      <c r="Y283" s="12" t="s">
        <v>44</v>
      </c>
      <c r="Z283" s="12">
        <v>3.1</v>
      </c>
      <c r="AA283" s="12">
        <v>5.8659999999999997E-2</v>
      </c>
      <c r="AB283" s="12" t="s">
        <v>49</v>
      </c>
      <c r="AC283" s="12" t="s">
        <v>52</v>
      </c>
      <c r="AD283" s="12">
        <v>1</v>
      </c>
      <c r="AE283" s="12">
        <v>0.10199999999999999</v>
      </c>
      <c r="AF283" s="12">
        <v>0.35799999999999998</v>
      </c>
      <c r="AG283" s="12">
        <v>-365</v>
      </c>
      <c r="AH283" s="12">
        <v>-1</v>
      </c>
      <c r="AI283" s="12">
        <v>0.18099999999999999</v>
      </c>
      <c r="AJ283" s="12">
        <v>0.33200000000000002</v>
      </c>
      <c r="AK283" s="12">
        <v>-340</v>
      </c>
      <c r="AL283" s="12">
        <v>60</v>
      </c>
      <c r="AM283" s="12" t="s">
        <v>44</v>
      </c>
      <c r="AN283" s="12">
        <v>6.1</v>
      </c>
      <c r="AO283" s="12" t="s">
        <v>65</v>
      </c>
      <c r="AP283" s="12">
        <v>1</v>
      </c>
      <c r="AQ283" s="12">
        <v>151</v>
      </c>
    </row>
    <row r="284" spans="1:43" x14ac:dyDescent="0.2">
      <c r="A284" s="12" t="s">
        <v>42</v>
      </c>
      <c r="B284" s="12" t="s">
        <v>43</v>
      </c>
      <c r="C284" s="12">
        <v>86.14</v>
      </c>
      <c r="D284" s="12" t="s">
        <v>44</v>
      </c>
      <c r="E284" s="12"/>
      <c r="F284" s="12"/>
      <c r="G284" s="12" t="s">
        <v>44</v>
      </c>
      <c r="H284" s="12">
        <v>1</v>
      </c>
      <c r="I284" s="12" t="s">
        <v>45</v>
      </c>
      <c r="J284" s="12" t="s">
        <v>46</v>
      </c>
      <c r="K284" s="12">
        <v>265.5</v>
      </c>
      <c r="L284" s="12">
        <v>0.153</v>
      </c>
      <c r="M284" s="12" t="s">
        <v>98</v>
      </c>
      <c r="N284" s="12" t="s">
        <v>44</v>
      </c>
      <c r="O284" s="12" t="s">
        <v>44</v>
      </c>
      <c r="P284" s="12" t="s">
        <v>44</v>
      </c>
      <c r="Q284" s="12" t="s">
        <v>44</v>
      </c>
      <c r="R284" s="12">
        <v>1.153</v>
      </c>
      <c r="S284" s="13">
        <f t="shared" si="4"/>
        <v>20.149999999999999</v>
      </c>
      <c r="T284" s="12" t="s">
        <v>44</v>
      </c>
      <c r="U284" s="12" t="s">
        <v>44</v>
      </c>
      <c r="V284" s="12" t="s">
        <v>48</v>
      </c>
      <c r="W284" s="12" t="s">
        <v>44</v>
      </c>
      <c r="X284" s="12" t="s">
        <v>44</v>
      </c>
      <c r="Y284" s="12" t="s">
        <v>44</v>
      </c>
      <c r="Z284" s="12">
        <v>10</v>
      </c>
      <c r="AA284" s="12">
        <v>1000</v>
      </c>
      <c r="AB284" s="12" t="s">
        <v>49</v>
      </c>
      <c r="AC284" s="12" t="s">
        <v>50</v>
      </c>
      <c r="AD284" s="12">
        <v>1</v>
      </c>
      <c r="AE284" s="12">
        <v>0.10199999999999999</v>
      </c>
      <c r="AF284" s="12">
        <v>0.35799999999999998</v>
      </c>
      <c r="AG284" s="12">
        <v>-365</v>
      </c>
      <c r="AH284" s="12">
        <v>-2</v>
      </c>
      <c r="AI284" s="12">
        <v>0.23</v>
      </c>
      <c r="AJ284" s="12">
        <v>0.379</v>
      </c>
      <c r="AK284" s="12">
        <v>-1080</v>
      </c>
      <c r="AL284" s="12">
        <v>30</v>
      </c>
      <c r="AM284" s="12" t="s">
        <v>44</v>
      </c>
      <c r="AN284" s="12">
        <v>6.1</v>
      </c>
      <c r="AO284" s="12" t="s">
        <v>105</v>
      </c>
      <c r="AP284" s="12">
        <v>1</v>
      </c>
      <c r="AQ284" s="12">
        <v>152</v>
      </c>
    </row>
    <row r="285" spans="1:43" x14ac:dyDescent="0.2">
      <c r="A285" s="12" t="s">
        <v>108</v>
      </c>
      <c r="B285" s="12" t="s">
        <v>109</v>
      </c>
      <c r="C285" s="12">
        <v>142.24</v>
      </c>
      <c r="D285" s="12" t="s">
        <v>44</v>
      </c>
      <c r="E285" s="12"/>
      <c r="F285" s="12"/>
      <c r="G285" s="12" t="s">
        <v>44</v>
      </c>
      <c r="H285" s="12">
        <v>2</v>
      </c>
      <c r="I285" s="12" t="s">
        <v>45</v>
      </c>
      <c r="J285" s="12" t="s">
        <v>46</v>
      </c>
      <c r="K285" s="12">
        <v>265.5</v>
      </c>
      <c r="L285" s="12">
        <v>0.2</v>
      </c>
      <c r="M285" s="12" t="s">
        <v>47</v>
      </c>
      <c r="N285" s="12" t="s">
        <v>44</v>
      </c>
      <c r="O285" s="12" t="s">
        <v>44</v>
      </c>
      <c r="P285" s="12" t="s">
        <v>44</v>
      </c>
      <c r="Q285" s="12" t="s">
        <v>44</v>
      </c>
      <c r="R285" s="12">
        <v>2.2000000000000002</v>
      </c>
      <c r="S285" s="13">
        <f t="shared" si="4"/>
        <v>18.670000000000002</v>
      </c>
      <c r="T285" s="12" t="s">
        <v>44</v>
      </c>
      <c r="U285" s="12" t="s">
        <v>44</v>
      </c>
      <c r="V285" s="12" t="s">
        <v>48</v>
      </c>
      <c r="W285" s="12" t="s">
        <v>44</v>
      </c>
      <c r="X285" s="12">
        <v>3</v>
      </c>
      <c r="Y285" s="12">
        <v>65</v>
      </c>
      <c r="Z285" s="12">
        <v>10</v>
      </c>
      <c r="AA285" s="12">
        <v>2000</v>
      </c>
      <c r="AB285" s="12" t="s">
        <v>49</v>
      </c>
      <c r="AC285" s="12" t="s">
        <v>52</v>
      </c>
      <c r="AD285" s="12">
        <v>1</v>
      </c>
      <c r="AE285" s="12">
        <v>0.10199999999999999</v>
      </c>
      <c r="AF285" s="12">
        <v>0.35799999999999998</v>
      </c>
      <c r="AG285" s="12">
        <v>-365</v>
      </c>
      <c r="AH285" s="12">
        <v>-1</v>
      </c>
      <c r="AI285" s="12">
        <v>0.18099999999999999</v>
      </c>
      <c r="AJ285" s="12">
        <v>0.33200000000000002</v>
      </c>
      <c r="AK285" s="12">
        <v>-340</v>
      </c>
      <c r="AL285" s="12">
        <v>30</v>
      </c>
      <c r="AM285" s="12" t="s">
        <v>44</v>
      </c>
      <c r="AN285" s="12">
        <v>6.1</v>
      </c>
      <c r="AO285" s="12" t="s">
        <v>110</v>
      </c>
      <c r="AP285" s="12">
        <v>1</v>
      </c>
      <c r="AQ285" s="12">
        <v>153</v>
      </c>
    </row>
    <row r="286" spans="1:43" x14ac:dyDescent="0.2">
      <c r="A286" s="12" t="s">
        <v>42</v>
      </c>
      <c r="B286" s="12" t="s">
        <v>43</v>
      </c>
      <c r="C286" s="12">
        <v>86.14</v>
      </c>
      <c r="D286" s="12" t="s">
        <v>44</v>
      </c>
      <c r="E286" s="12"/>
      <c r="F286" s="12"/>
      <c r="G286" s="12" t="s">
        <v>44</v>
      </c>
      <c r="H286" s="12">
        <v>1.76</v>
      </c>
      <c r="I286" s="12" t="s">
        <v>116</v>
      </c>
      <c r="J286" s="12" t="s">
        <v>117</v>
      </c>
      <c r="K286" s="12">
        <v>423.7</v>
      </c>
      <c r="L286" s="12">
        <v>0.03</v>
      </c>
      <c r="M286" s="12" t="s">
        <v>111</v>
      </c>
      <c r="N286" s="12" t="s">
        <v>61</v>
      </c>
      <c r="O286" s="12">
        <v>0.01</v>
      </c>
      <c r="P286" s="12" t="s">
        <v>118</v>
      </c>
      <c r="Q286" s="12">
        <v>4</v>
      </c>
      <c r="R286" s="12">
        <v>1.79</v>
      </c>
      <c r="S286" s="13">
        <f t="shared" si="4"/>
        <v>288.57</v>
      </c>
      <c r="T286" s="12" t="s">
        <v>44</v>
      </c>
      <c r="U286" s="12" t="s">
        <v>119</v>
      </c>
      <c r="V286" s="12" t="s">
        <v>120</v>
      </c>
      <c r="W286" s="12">
        <v>1.5</v>
      </c>
      <c r="X286" s="12">
        <v>10</v>
      </c>
      <c r="Y286" s="12">
        <v>35</v>
      </c>
      <c r="Z286" s="12">
        <v>5</v>
      </c>
      <c r="AA286" s="12">
        <v>500</v>
      </c>
      <c r="AB286" s="12" t="s">
        <v>49</v>
      </c>
      <c r="AC286" s="12" t="s">
        <v>50</v>
      </c>
      <c r="AD286" s="12">
        <v>1</v>
      </c>
      <c r="AE286" s="12">
        <v>0.10199999999999999</v>
      </c>
      <c r="AF286" s="12">
        <v>0.35799999999999998</v>
      </c>
      <c r="AG286" s="12">
        <v>-365</v>
      </c>
      <c r="AH286" s="12">
        <v>-2</v>
      </c>
      <c r="AI286" s="12">
        <v>0.23</v>
      </c>
      <c r="AJ286" s="12">
        <v>0.379</v>
      </c>
      <c r="AK286" s="12">
        <v>-1080</v>
      </c>
      <c r="AL286" s="12">
        <v>480</v>
      </c>
      <c r="AM286" s="12" t="s">
        <v>44</v>
      </c>
      <c r="AN286" s="12">
        <v>6.1</v>
      </c>
      <c r="AO286" s="12" t="s">
        <v>121</v>
      </c>
      <c r="AP286" s="12">
        <v>3</v>
      </c>
      <c r="AQ286" s="12">
        <v>154</v>
      </c>
    </row>
    <row r="287" spans="1:43" x14ac:dyDescent="0.2">
      <c r="A287" s="2" t="s">
        <v>63</v>
      </c>
      <c r="B287" s="2" t="s">
        <v>64</v>
      </c>
      <c r="C287" s="2">
        <v>228.29</v>
      </c>
      <c r="D287" s="2" t="s">
        <v>44</v>
      </c>
      <c r="E287" s="2"/>
      <c r="F287" s="2"/>
      <c r="G287" s="2" t="s">
        <v>44</v>
      </c>
      <c r="H287" s="2">
        <v>1</v>
      </c>
      <c r="I287" s="2" t="s">
        <v>45</v>
      </c>
      <c r="J287" s="2" t="s">
        <v>46</v>
      </c>
      <c r="K287" s="2">
        <v>265.5</v>
      </c>
      <c r="L287" s="2">
        <v>0.15</v>
      </c>
      <c r="M287" s="2" t="s">
        <v>47</v>
      </c>
      <c r="N287" s="2" t="s">
        <v>44</v>
      </c>
      <c r="O287" s="2" t="s">
        <v>44</v>
      </c>
      <c r="P287" s="2" t="s">
        <v>44</v>
      </c>
      <c r="Q287" s="2" t="s">
        <v>44</v>
      </c>
      <c r="R287" s="2">
        <v>1.1499999999999999</v>
      </c>
      <c r="S287" s="3">
        <f t="shared" si="4"/>
        <v>7.75</v>
      </c>
      <c r="T287" s="2" t="s">
        <v>44</v>
      </c>
      <c r="U287" s="2" t="s">
        <v>44</v>
      </c>
      <c r="V287" s="2" t="s">
        <v>48</v>
      </c>
      <c r="W287" s="2" t="s">
        <v>44</v>
      </c>
      <c r="X287" s="2" t="s">
        <v>44</v>
      </c>
      <c r="Y287" s="2" t="s">
        <v>44</v>
      </c>
      <c r="Z287" s="2">
        <v>3.1</v>
      </c>
      <c r="AA287" s="2">
        <v>5.8659999999999997E-2</v>
      </c>
      <c r="AB287" s="2" t="s">
        <v>49</v>
      </c>
      <c r="AC287" s="2" t="s">
        <v>52</v>
      </c>
      <c r="AD287" s="2">
        <v>1</v>
      </c>
      <c r="AE287" s="2">
        <v>0.10199999999999999</v>
      </c>
      <c r="AF287" s="2">
        <v>0.35799999999999998</v>
      </c>
      <c r="AG287" s="2">
        <v>-365</v>
      </c>
      <c r="AH287" s="2">
        <v>-1</v>
      </c>
      <c r="AI287" s="2">
        <v>0.18099999999999999</v>
      </c>
      <c r="AJ287" s="2">
        <v>0.33200000000000002</v>
      </c>
      <c r="AK287" s="2">
        <v>-340</v>
      </c>
      <c r="AL287" s="2">
        <v>30</v>
      </c>
      <c r="AM287" s="2" t="s">
        <v>44</v>
      </c>
      <c r="AN287" s="2">
        <v>6.2</v>
      </c>
      <c r="AO287" s="2" t="s">
        <v>65</v>
      </c>
      <c r="AP287" s="2">
        <v>1</v>
      </c>
      <c r="AQ287" s="2">
        <v>6</v>
      </c>
    </row>
    <row r="288" spans="1:43" x14ac:dyDescent="0.2">
      <c r="A288" s="2" t="s">
        <v>63</v>
      </c>
      <c r="B288" s="2" t="s">
        <v>64</v>
      </c>
      <c r="C288" s="2">
        <v>228.29</v>
      </c>
      <c r="D288" s="2" t="s">
        <v>44</v>
      </c>
      <c r="E288" s="2"/>
      <c r="F288" s="2"/>
      <c r="G288" s="2" t="s">
        <v>44</v>
      </c>
      <c r="H288" s="2">
        <v>1</v>
      </c>
      <c r="I288" s="2" t="s">
        <v>45</v>
      </c>
      <c r="J288" s="2" t="s">
        <v>46</v>
      </c>
      <c r="K288" s="2">
        <v>265.5</v>
      </c>
      <c r="L288" s="2">
        <v>0.15</v>
      </c>
      <c r="M288" s="2" t="s">
        <v>47</v>
      </c>
      <c r="N288" s="2" t="s">
        <v>44</v>
      </c>
      <c r="O288" s="2" t="s">
        <v>44</v>
      </c>
      <c r="P288" s="2" t="s">
        <v>44</v>
      </c>
      <c r="Q288" s="2" t="s">
        <v>44</v>
      </c>
      <c r="R288" s="2">
        <v>1.1499999999999999</v>
      </c>
      <c r="S288" s="3">
        <f t="shared" si="4"/>
        <v>7.75</v>
      </c>
      <c r="T288" s="2" t="s">
        <v>44</v>
      </c>
      <c r="U288" s="2" t="s">
        <v>44</v>
      </c>
      <c r="V288" s="2" t="s">
        <v>48</v>
      </c>
      <c r="W288" s="2" t="s">
        <v>44</v>
      </c>
      <c r="X288" s="2" t="s">
        <v>44</v>
      </c>
      <c r="Y288" s="2" t="s">
        <v>44</v>
      </c>
      <c r="Z288" s="2">
        <v>1.72</v>
      </c>
      <c r="AA288" s="2">
        <v>0.58660000000000001</v>
      </c>
      <c r="AB288" s="2" t="s">
        <v>49</v>
      </c>
      <c r="AC288" s="2" t="s">
        <v>52</v>
      </c>
      <c r="AD288" s="2">
        <v>1</v>
      </c>
      <c r="AE288" s="2">
        <v>0.10199999999999999</v>
      </c>
      <c r="AF288" s="2">
        <v>0.35799999999999998</v>
      </c>
      <c r="AG288" s="2">
        <v>-365</v>
      </c>
      <c r="AH288" s="2">
        <v>-1</v>
      </c>
      <c r="AI288" s="2">
        <v>0.18099999999999999</v>
      </c>
      <c r="AJ288" s="2">
        <v>0.33200000000000002</v>
      </c>
      <c r="AK288" s="2">
        <v>-340</v>
      </c>
      <c r="AL288" s="2">
        <v>60</v>
      </c>
      <c r="AM288" s="2" t="s">
        <v>44</v>
      </c>
      <c r="AN288" s="2">
        <v>6.2</v>
      </c>
      <c r="AO288" s="2" t="s">
        <v>65</v>
      </c>
      <c r="AP288" s="2">
        <v>1</v>
      </c>
      <c r="AQ288" s="2">
        <v>143</v>
      </c>
    </row>
    <row r="289" spans="1:43" x14ac:dyDescent="0.2">
      <c r="A289" s="2" t="s">
        <v>42</v>
      </c>
      <c r="B289" s="2" t="s">
        <v>43</v>
      </c>
      <c r="C289" s="2">
        <v>86.14</v>
      </c>
      <c r="D289" s="2" t="s">
        <v>44</v>
      </c>
      <c r="E289" s="2"/>
      <c r="F289" s="2"/>
      <c r="G289" s="2" t="s">
        <v>44</v>
      </c>
      <c r="H289" s="2">
        <v>2</v>
      </c>
      <c r="I289" s="2" t="s">
        <v>45</v>
      </c>
      <c r="J289" s="2" t="s">
        <v>46</v>
      </c>
      <c r="K289" s="2">
        <v>265.5</v>
      </c>
      <c r="L289" s="2">
        <v>0.1</v>
      </c>
      <c r="M289" s="2" t="s">
        <v>47</v>
      </c>
      <c r="N289" s="2" t="s">
        <v>44</v>
      </c>
      <c r="O289" s="2" t="s">
        <v>44</v>
      </c>
      <c r="P289" s="2" t="s">
        <v>44</v>
      </c>
      <c r="Q289" s="2" t="s">
        <v>44</v>
      </c>
      <c r="R289" s="2">
        <v>2.1</v>
      </c>
      <c r="S289" s="3">
        <f t="shared" si="4"/>
        <v>61.64</v>
      </c>
      <c r="T289" s="2" t="s">
        <v>44</v>
      </c>
      <c r="U289" s="2" t="s">
        <v>44</v>
      </c>
      <c r="V289" s="2" t="s">
        <v>48</v>
      </c>
      <c r="W289" s="2" t="s">
        <v>44</v>
      </c>
      <c r="X289" s="2">
        <v>5</v>
      </c>
      <c r="Y289" s="2">
        <v>90</v>
      </c>
      <c r="Z289" s="2">
        <v>10.3</v>
      </c>
      <c r="AA289" s="2">
        <v>1000</v>
      </c>
      <c r="AB289" s="2" t="s">
        <v>49</v>
      </c>
      <c r="AC289" s="2" t="s">
        <v>52</v>
      </c>
      <c r="AD289" s="2">
        <v>1</v>
      </c>
      <c r="AE289" s="2">
        <v>0.10199999999999999</v>
      </c>
      <c r="AF289" s="2">
        <v>0.35799999999999998</v>
      </c>
      <c r="AG289" s="2">
        <v>-365</v>
      </c>
      <c r="AH289" s="2">
        <v>-1</v>
      </c>
      <c r="AI289" s="2">
        <v>0.18099999999999999</v>
      </c>
      <c r="AJ289" s="2">
        <v>0.33200000000000002</v>
      </c>
      <c r="AK289" s="2">
        <v>-340</v>
      </c>
      <c r="AL289" s="2">
        <v>45</v>
      </c>
      <c r="AM289" s="2" t="s">
        <v>44</v>
      </c>
      <c r="AN289" s="2">
        <v>6.2</v>
      </c>
      <c r="AO289" s="2" t="s">
        <v>101</v>
      </c>
      <c r="AP289" s="2">
        <v>1</v>
      </c>
      <c r="AQ289" s="2">
        <v>144</v>
      </c>
    </row>
    <row r="290" spans="1:43" x14ac:dyDescent="0.2">
      <c r="A290" s="2" t="s">
        <v>42</v>
      </c>
      <c r="B290" s="2" t="s">
        <v>43</v>
      </c>
      <c r="C290" s="2">
        <v>86.14</v>
      </c>
      <c r="D290" s="2" t="s">
        <v>44</v>
      </c>
      <c r="E290" s="2"/>
      <c r="F290" s="2"/>
      <c r="G290" s="2" t="s">
        <v>44</v>
      </c>
      <c r="H290" s="2">
        <v>2</v>
      </c>
      <c r="I290" s="2" t="s">
        <v>45</v>
      </c>
      <c r="J290" s="2" t="s">
        <v>46</v>
      </c>
      <c r="K290" s="2">
        <v>265.5</v>
      </c>
      <c r="L290" s="2">
        <v>0.1</v>
      </c>
      <c r="M290" s="2" t="s">
        <v>47</v>
      </c>
      <c r="N290" s="2" t="s">
        <v>44</v>
      </c>
      <c r="O290" s="2" t="s">
        <v>44</v>
      </c>
      <c r="P290" s="2" t="s">
        <v>44</v>
      </c>
      <c r="Q290" s="2" t="s">
        <v>44</v>
      </c>
      <c r="R290" s="2">
        <v>2.1</v>
      </c>
      <c r="S290" s="3">
        <f t="shared" si="4"/>
        <v>61.64</v>
      </c>
      <c r="T290" s="2" t="s">
        <v>44</v>
      </c>
      <c r="U290" s="2" t="s">
        <v>44</v>
      </c>
      <c r="V290" s="2" t="s">
        <v>48</v>
      </c>
      <c r="W290" s="2" t="s">
        <v>44</v>
      </c>
      <c r="X290" s="2">
        <v>5</v>
      </c>
      <c r="Y290" s="2">
        <v>90</v>
      </c>
      <c r="Z290" s="2">
        <v>10.3</v>
      </c>
      <c r="AA290" s="2">
        <v>1000</v>
      </c>
      <c r="AB290" s="2" t="s">
        <v>69</v>
      </c>
      <c r="AC290" s="2" t="s">
        <v>50</v>
      </c>
      <c r="AD290" s="2">
        <v>2</v>
      </c>
      <c r="AE290" s="2">
        <v>7.1999999999999995E-2</v>
      </c>
      <c r="AF290" s="2">
        <v>0.42799999999999999</v>
      </c>
      <c r="AG290" s="2">
        <v>-1830</v>
      </c>
      <c r="AH290" s="2">
        <v>-2</v>
      </c>
      <c r="AI290" s="2">
        <v>0.23</v>
      </c>
      <c r="AJ290" s="2">
        <v>0.379</v>
      </c>
      <c r="AK290" s="2">
        <v>-1080</v>
      </c>
      <c r="AL290" s="2">
        <v>45</v>
      </c>
      <c r="AM290" s="2" t="s">
        <v>44</v>
      </c>
      <c r="AN290" s="2">
        <v>6.2</v>
      </c>
      <c r="AO290" s="2" t="s">
        <v>101</v>
      </c>
      <c r="AP290" s="2">
        <v>1</v>
      </c>
      <c r="AQ290" s="2">
        <v>145</v>
      </c>
    </row>
    <row r="291" spans="1:43" x14ac:dyDescent="0.2">
      <c r="A291" s="2" t="s">
        <v>42</v>
      </c>
      <c r="B291" s="2" t="s">
        <v>43</v>
      </c>
      <c r="C291" s="2">
        <v>86.14</v>
      </c>
      <c r="D291" s="2" t="s">
        <v>44</v>
      </c>
      <c r="E291" s="2"/>
      <c r="F291" s="2"/>
      <c r="G291" s="2" t="s">
        <v>44</v>
      </c>
      <c r="H291" s="2">
        <v>1.5</v>
      </c>
      <c r="I291" s="2" t="s">
        <v>45</v>
      </c>
      <c r="J291" s="2" t="s">
        <v>46</v>
      </c>
      <c r="K291" s="2">
        <v>265.5</v>
      </c>
      <c r="L291" s="2">
        <v>0.1</v>
      </c>
      <c r="M291" s="2" t="s">
        <v>47</v>
      </c>
      <c r="N291" s="2" t="s">
        <v>44</v>
      </c>
      <c r="O291" s="2" t="s">
        <v>44</v>
      </c>
      <c r="P291" s="2" t="s">
        <v>44</v>
      </c>
      <c r="Q291" s="2" t="s">
        <v>44</v>
      </c>
      <c r="R291" s="2">
        <v>1.6</v>
      </c>
      <c r="S291" s="3">
        <f t="shared" si="4"/>
        <v>46.23</v>
      </c>
      <c r="T291" s="2" t="s">
        <v>44</v>
      </c>
      <c r="U291" s="2" t="s">
        <v>44</v>
      </c>
      <c r="V291" s="2" t="s">
        <v>48</v>
      </c>
      <c r="W291" s="2" t="s">
        <v>44</v>
      </c>
      <c r="X291" s="2">
        <v>8</v>
      </c>
      <c r="Y291" s="2">
        <v>70</v>
      </c>
      <c r="Z291" s="2">
        <v>6</v>
      </c>
      <c r="AA291" s="2">
        <v>2000</v>
      </c>
      <c r="AB291" s="2" t="s">
        <v>49</v>
      </c>
      <c r="AC291" s="2" t="s">
        <v>50</v>
      </c>
      <c r="AD291" s="2">
        <v>1</v>
      </c>
      <c r="AE291" s="2">
        <v>0.10199999999999999</v>
      </c>
      <c r="AF291" s="2">
        <v>0.35799999999999998</v>
      </c>
      <c r="AG291" s="2">
        <v>-365</v>
      </c>
      <c r="AH291" s="2">
        <v>-2</v>
      </c>
      <c r="AI291" s="2">
        <v>0.23</v>
      </c>
      <c r="AJ291" s="2">
        <v>0.379</v>
      </c>
      <c r="AK291" s="2">
        <v>-1080</v>
      </c>
      <c r="AL291" s="2">
        <v>60</v>
      </c>
      <c r="AM291" s="2" t="s">
        <v>44</v>
      </c>
      <c r="AN291" s="2">
        <v>6.2</v>
      </c>
      <c r="AO291" s="2" t="s">
        <v>100</v>
      </c>
      <c r="AP291" s="2">
        <v>1</v>
      </c>
      <c r="AQ291" s="2">
        <v>146</v>
      </c>
    </row>
    <row r="292" spans="1:43" x14ac:dyDescent="0.2">
      <c r="A292" s="2" t="s">
        <v>42</v>
      </c>
      <c r="B292" s="2" t="s">
        <v>43</v>
      </c>
      <c r="C292" s="2">
        <v>86.14</v>
      </c>
      <c r="D292" s="2" t="s">
        <v>44</v>
      </c>
      <c r="E292" s="2"/>
      <c r="F292" s="2"/>
      <c r="G292" s="2" t="s">
        <v>44</v>
      </c>
      <c r="H292" s="2">
        <v>1.5</v>
      </c>
      <c r="I292" s="2" t="s">
        <v>45</v>
      </c>
      <c r="J292" s="2" t="s">
        <v>46</v>
      </c>
      <c r="K292" s="2">
        <v>265.5</v>
      </c>
      <c r="L292" s="2">
        <v>0.15</v>
      </c>
      <c r="M292" s="2" t="s">
        <v>47</v>
      </c>
      <c r="N292" s="2" t="s">
        <v>44</v>
      </c>
      <c r="O292" s="2" t="s">
        <v>44</v>
      </c>
      <c r="P292" s="2" t="s">
        <v>44</v>
      </c>
      <c r="Q292" s="2" t="s">
        <v>44</v>
      </c>
      <c r="R292" s="2">
        <v>1.65</v>
      </c>
      <c r="S292" s="3">
        <f t="shared" si="4"/>
        <v>30.82</v>
      </c>
      <c r="T292" s="2" t="s">
        <v>44</v>
      </c>
      <c r="U292" s="2" t="s">
        <v>44</v>
      </c>
      <c r="V292" s="2" t="s">
        <v>48</v>
      </c>
      <c r="W292" s="2" t="s">
        <v>44</v>
      </c>
      <c r="X292" s="2">
        <v>8</v>
      </c>
      <c r="Y292" s="2">
        <v>70</v>
      </c>
      <c r="Z292" s="2">
        <v>6</v>
      </c>
      <c r="AA292" s="2">
        <v>2000</v>
      </c>
      <c r="AB292" s="2" t="s">
        <v>49</v>
      </c>
      <c r="AC292" s="2" t="s">
        <v>50</v>
      </c>
      <c r="AD292" s="2">
        <v>1</v>
      </c>
      <c r="AE292" s="2">
        <v>0.10199999999999999</v>
      </c>
      <c r="AF292" s="2">
        <v>0.35799999999999998</v>
      </c>
      <c r="AG292" s="2">
        <v>-365</v>
      </c>
      <c r="AH292" s="2">
        <v>-2</v>
      </c>
      <c r="AI292" s="2">
        <v>0.23</v>
      </c>
      <c r="AJ292" s="2">
        <v>0.379</v>
      </c>
      <c r="AK292" s="2">
        <v>-1080</v>
      </c>
      <c r="AL292" s="2">
        <v>45</v>
      </c>
      <c r="AM292" s="2" t="s">
        <v>44</v>
      </c>
      <c r="AN292" s="2">
        <v>6.2</v>
      </c>
      <c r="AO292" s="2" t="s">
        <v>100</v>
      </c>
      <c r="AP292" s="2">
        <v>1</v>
      </c>
      <c r="AQ292" s="2">
        <v>147</v>
      </c>
    </row>
    <row r="293" spans="1:43" x14ac:dyDescent="0.2">
      <c r="A293" s="2" t="s">
        <v>42</v>
      </c>
      <c r="B293" s="2" t="s">
        <v>43</v>
      </c>
      <c r="C293" s="2">
        <v>86.14</v>
      </c>
      <c r="D293" s="2" t="s">
        <v>44</v>
      </c>
      <c r="E293" s="2"/>
      <c r="F293" s="2"/>
      <c r="G293" s="2" t="s">
        <v>44</v>
      </c>
      <c r="H293" s="2">
        <v>0.25</v>
      </c>
      <c r="I293" s="2" t="s">
        <v>45</v>
      </c>
      <c r="J293" s="2" t="s">
        <v>46</v>
      </c>
      <c r="K293" s="2">
        <v>265.5</v>
      </c>
      <c r="L293" s="2">
        <v>0.30399999999999999</v>
      </c>
      <c r="M293" s="2" t="s">
        <v>47</v>
      </c>
      <c r="N293" s="2" t="s">
        <v>44</v>
      </c>
      <c r="O293" s="2" t="s">
        <v>44</v>
      </c>
      <c r="P293" s="2" t="s">
        <v>44</v>
      </c>
      <c r="Q293" s="2" t="s">
        <v>44</v>
      </c>
      <c r="R293" s="2">
        <v>0.55400000000000005</v>
      </c>
      <c r="S293" s="3">
        <f t="shared" si="4"/>
        <v>2.5299999999999998</v>
      </c>
      <c r="T293" s="2" t="s">
        <v>44</v>
      </c>
      <c r="U293" s="2" t="s">
        <v>44</v>
      </c>
      <c r="V293" s="2" t="s">
        <v>48</v>
      </c>
      <c r="W293" s="2" t="s">
        <v>44</v>
      </c>
      <c r="X293" s="2">
        <v>30</v>
      </c>
      <c r="Y293" s="2">
        <v>60</v>
      </c>
      <c r="Z293" s="2">
        <v>4</v>
      </c>
      <c r="AA293" s="2">
        <v>1000</v>
      </c>
      <c r="AB293" s="2" t="s">
        <v>49</v>
      </c>
      <c r="AC293" s="2" t="s">
        <v>50</v>
      </c>
      <c r="AD293" s="2">
        <v>1</v>
      </c>
      <c r="AE293" s="2">
        <v>0.10199999999999999</v>
      </c>
      <c r="AF293" s="2">
        <v>0.35799999999999998</v>
      </c>
      <c r="AG293" s="2">
        <v>-365</v>
      </c>
      <c r="AH293" s="2">
        <v>-2</v>
      </c>
      <c r="AI293" s="2">
        <v>0.23</v>
      </c>
      <c r="AJ293" s="2">
        <v>0.379</v>
      </c>
      <c r="AK293" s="2">
        <v>-1080</v>
      </c>
      <c r="AL293" s="2">
        <v>30</v>
      </c>
      <c r="AM293" s="2" t="s">
        <v>44</v>
      </c>
      <c r="AN293" s="2">
        <v>6.2</v>
      </c>
      <c r="AO293" s="2" t="s">
        <v>88</v>
      </c>
      <c r="AP293" s="2">
        <v>1</v>
      </c>
      <c r="AQ293" s="2">
        <v>148</v>
      </c>
    </row>
    <row r="294" spans="1:43" x14ac:dyDescent="0.2">
      <c r="A294" s="2" t="s">
        <v>42</v>
      </c>
      <c r="B294" s="2" t="s">
        <v>43</v>
      </c>
      <c r="C294" s="2">
        <v>86.14</v>
      </c>
      <c r="D294" s="2" t="s">
        <v>44</v>
      </c>
      <c r="E294" s="2"/>
      <c r="F294" s="2"/>
      <c r="G294" s="2" t="s">
        <v>44</v>
      </c>
      <c r="H294" s="2">
        <v>0.25</v>
      </c>
      <c r="I294" s="2" t="s">
        <v>45</v>
      </c>
      <c r="J294" s="2" t="s">
        <v>46</v>
      </c>
      <c r="K294" s="2">
        <v>265.5</v>
      </c>
      <c r="L294" s="2">
        <v>0.30399999999999999</v>
      </c>
      <c r="M294" s="2" t="s">
        <v>47</v>
      </c>
      <c r="N294" s="2" t="s">
        <v>44</v>
      </c>
      <c r="O294" s="2" t="s">
        <v>44</v>
      </c>
      <c r="P294" s="2" t="s">
        <v>44</v>
      </c>
      <c r="Q294" s="2" t="s">
        <v>44</v>
      </c>
      <c r="R294" s="2">
        <v>0.55400000000000005</v>
      </c>
      <c r="S294" s="3">
        <f t="shared" si="4"/>
        <v>2.5299999999999998</v>
      </c>
      <c r="T294" s="2" t="s">
        <v>44</v>
      </c>
      <c r="U294" s="2" t="s">
        <v>44</v>
      </c>
      <c r="V294" s="2" t="s">
        <v>48</v>
      </c>
      <c r="W294" s="2" t="s">
        <v>44</v>
      </c>
      <c r="X294" s="2">
        <v>30</v>
      </c>
      <c r="Y294" s="2">
        <v>60</v>
      </c>
      <c r="Z294" s="2">
        <v>4</v>
      </c>
      <c r="AA294" s="2">
        <v>1000</v>
      </c>
      <c r="AB294" s="2" t="s">
        <v>69</v>
      </c>
      <c r="AC294" s="2" t="s">
        <v>50</v>
      </c>
      <c r="AD294" s="2">
        <v>2</v>
      </c>
      <c r="AE294" s="2">
        <v>7.1999999999999995E-2</v>
      </c>
      <c r="AF294" s="2">
        <v>0.42799999999999999</v>
      </c>
      <c r="AG294" s="2">
        <v>-1830</v>
      </c>
      <c r="AH294" s="2">
        <v>-2</v>
      </c>
      <c r="AI294" s="2">
        <v>0.23</v>
      </c>
      <c r="AJ294" s="2">
        <v>0.379</v>
      </c>
      <c r="AK294" s="2">
        <v>-1080</v>
      </c>
      <c r="AL294" s="2">
        <v>30</v>
      </c>
      <c r="AM294" s="2" t="s">
        <v>44</v>
      </c>
      <c r="AN294" s="2">
        <v>6.2</v>
      </c>
      <c r="AO294" s="2" t="s">
        <v>88</v>
      </c>
      <c r="AP294" s="2">
        <v>1</v>
      </c>
      <c r="AQ294" s="2">
        <v>149</v>
      </c>
    </row>
    <row r="295" spans="1:43" x14ac:dyDescent="0.2">
      <c r="A295" s="12" t="s">
        <v>63</v>
      </c>
      <c r="B295" s="12" t="s">
        <v>64</v>
      </c>
      <c r="C295" s="12">
        <v>228.29</v>
      </c>
      <c r="D295" s="12" t="s">
        <v>44</v>
      </c>
      <c r="E295" s="12"/>
      <c r="F295" s="12"/>
      <c r="G295" s="12" t="s">
        <v>44</v>
      </c>
      <c r="H295" s="12">
        <v>1</v>
      </c>
      <c r="I295" s="12" t="s">
        <v>45</v>
      </c>
      <c r="J295" s="12" t="s">
        <v>46</v>
      </c>
      <c r="K295" s="12">
        <v>265.5</v>
      </c>
      <c r="L295" s="12">
        <v>0.15</v>
      </c>
      <c r="M295" s="12" t="s">
        <v>47</v>
      </c>
      <c r="N295" s="12" t="s">
        <v>44</v>
      </c>
      <c r="O295" s="12" t="s">
        <v>44</v>
      </c>
      <c r="P295" s="12" t="s">
        <v>44</v>
      </c>
      <c r="Q295" s="12" t="s">
        <v>44</v>
      </c>
      <c r="R295" s="12">
        <v>1.1499999999999999</v>
      </c>
      <c r="S295" s="13">
        <f t="shared" si="4"/>
        <v>7.75</v>
      </c>
      <c r="T295" s="12" t="s">
        <v>44</v>
      </c>
      <c r="U295" s="12" t="s">
        <v>44</v>
      </c>
      <c r="V295" s="12" t="s">
        <v>48</v>
      </c>
      <c r="W295" s="12" t="s">
        <v>44</v>
      </c>
      <c r="X295" s="12" t="s">
        <v>44</v>
      </c>
      <c r="Y295" s="12" t="s">
        <v>44</v>
      </c>
      <c r="Z295" s="12">
        <v>1.72</v>
      </c>
      <c r="AA295" s="12">
        <v>5.8659999999999997</v>
      </c>
      <c r="AB295" s="12" t="s">
        <v>49</v>
      </c>
      <c r="AC295" s="12" t="s">
        <v>52</v>
      </c>
      <c r="AD295" s="12">
        <v>1</v>
      </c>
      <c r="AE295" s="12">
        <v>0.10199999999999999</v>
      </c>
      <c r="AF295" s="12">
        <v>0.35799999999999998</v>
      </c>
      <c r="AG295" s="12">
        <v>-365</v>
      </c>
      <c r="AH295" s="12">
        <v>-1</v>
      </c>
      <c r="AI295" s="12">
        <v>0.18099999999999999</v>
      </c>
      <c r="AJ295" s="12">
        <v>0.33200000000000002</v>
      </c>
      <c r="AK295" s="12">
        <v>-340</v>
      </c>
      <c r="AL295" s="12">
        <v>60</v>
      </c>
      <c r="AM295" s="12" t="s">
        <v>44</v>
      </c>
      <c r="AN295" s="12">
        <v>6.3</v>
      </c>
      <c r="AO295" s="12" t="s">
        <v>65</v>
      </c>
      <c r="AP295" s="12">
        <v>1</v>
      </c>
      <c r="AQ295" s="12">
        <v>136</v>
      </c>
    </row>
    <row r="296" spans="1:43" x14ac:dyDescent="0.2">
      <c r="A296" s="12" t="s">
        <v>63</v>
      </c>
      <c r="B296" s="12" t="s">
        <v>64</v>
      </c>
      <c r="C296" s="12">
        <v>228.29</v>
      </c>
      <c r="D296" s="12" t="s">
        <v>44</v>
      </c>
      <c r="E296" s="12"/>
      <c r="F296" s="12"/>
      <c r="G296" s="12" t="s">
        <v>44</v>
      </c>
      <c r="H296" s="12">
        <v>1</v>
      </c>
      <c r="I296" s="12" t="s">
        <v>45</v>
      </c>
      <c r="J296" s="12" t="s">
        <v>46</v>
      </c>
      <c r="K296" s="12">
        <v>265.5</v>
      </c>
      <c r="L296" s="12">
        <v>0.15</v>
      </c>
      <c r="M296" s="12" t="s">
        <v>47</v>
      </c>
      <c r="N296" s="12" t="s">
        <v>44</v>
      </c>
      <c r="O296" s="12" t="s">
        <v>44</v>
      </c>
      <c r="P296" s="12" t="s">
        <v>44</v>
      </c>
      <c r="Q296" s="12" t="s">
        <v>44</v>
      </c>
      <c r="R296" s="12">
        <v>1.1499999999999999</v>
      </c>
      <c r="S296" s="13">
        <f t="shared" si="4"/>
        <v>7.75</v>
      </c>
      <c r="T296" s="12" t="s">
        <v>44</v>
      </c>
      <c r="U296" s="12" t="s">
        <v>44</v>
      </c>
      <c r="V296" s="12" t="s">
        <v>48</v>
      </c>
      <c r="W296" s="12" t="s">
        <v>44</v>
      </c>
      <c r="X296" s="12" t="s">
        <v>44</v>
      </c>
      <c r="Y296" s="12" t="s">
        <v>44</v>
      </c>
      <c r="Z296" s="12">
        <v>3.1</v>
      </c>
      <c r="AA296" s="12">
        <v>0.58660000000000001</v>
      </c>
      <c r="AB296" s="12" t="s">
        <v>49</v>
      </c>
      <c r="AC296" s="12" t="s">
        <v>52</v>
      </c>
      <c r="AD296" s="12">
        <v>1</v>
      </c>
      <c r="AE296" s="12">
        <v>0.10199999999999999</v>
      </c>
      <c r="AF296" s="12">
        <v>0.35799999999999998</v>
      </c>
      <c r="AG296" s="12">
        <v>-365</v>
      </c>
      <c r="AH296" s="12">
        <v>-1</v>
      </c>
      <c r="AI296" s="12">
        <v>0.18099999999999999</v>
      </c>
      <c r="AJ296" s="12">
        <v>0.33200000000000002</v>
      </c>
      <c r="AK296" s="12">
        <v>-340</v>
      </c>
      <c r="AL296" s="12">
        <v>60</v>
      </c>
      <c r="AM296" s="12" t="s">
        <v>44</v>
      </c>
      <c r="AN296" s="12">
        <v>6.3</v>
      </c>
      <c r="AO296" s="12" t="s">
        <v>65</v>
      </c>
      <c r="AP296" s="12">
        <v>1</v>
      </c>
      <c r="AQ296" s="12">
        <v>137</v>
      </c>
    </row>
    <row r="297" spans="1:43" x14ac:dyDescent="0.2">
      <c r="A297" s="12" t="s">
        <v>42</v>
      </c>
      <c r="B297" s="12" t="s">
        <v>43</v>
      </c>
      <c r="C297" s="12">
        <v>86.14</v>
      </c>
      <c r="D297" s="12" t="s">
        <v>44</v>
      </c>
      <c r="E297" s="12"/>
      <c r="F297" s="12"/>
      <c r="G297" s="12" t="s">
        <v>44</v>
      </c>
      <c r="H297" s="12">
        <v>1</v>
      </c>
      <c r="I297" s="12" t="s">
        <v>45</v>
      </c>
      <c r="J297" s="12" t="s">
        <v>46</v>
      </c>
      <c r="K297" s="12">
        <v>265.5</v>
      </c>
      <c r="L297" s="12">
        <v>0.153</v>
      </c>
      <c r="M297" s="12" t="s">
        <v>98</v>
      </c>
      <c r="N297" s="12" t="s">
        <v>44</v>
      </c>
      <c r="O297" s="12" t="s">
        <v>44</v>
      </c>
      <c r="P297" s="12" t="s">
        <v>44</v>
      </c>
      <c r="Q297" s="12" t="s">
        <v>44</v>
      </c>
      <c r="R297" s="12">
        <v>1.153</v>
      </c>
      <c r="S297" s="13">
        <f t="shared" si="4"/>
        <v>20.149999999999999</v>
      </c>
      <c r="T297" s="12" t="s">
        <v>44</v>
      </c>
      <c r="U297" s="12" t="s">
        <v>44</v>
      </c>
      <c r="V297" s="12" t="s">
        <v>48</v>
      </c>
      <c r="W297" s="12" t="s">
        <v>44</v>
      </c>
      <c r="X297" s="12" t="s">
        <v>44</v>
      </c>
      <c r="Y297" s="12" t="s">
        <v>44</v>
      </c>
      <c r="Z297" s="12">
        <v>10</v>
      </c>
      <c r="AA297" s="12">
        <v>1000</v>
      </c>
      <c r="AB297" s="12" t="s">
        <v>69</v>
      </c>
      <c r="AC297" s="12" t="s">
        <v>50</v>
      </c>
      <c r="AD297" s="12">
        <v>2</v>
      </c>
      <c r="AE297" s="12">
        <v>7.1999999999999995E-2</v>
      </c>
      <c r="AF297" s="12">
        <v>0.42799999999999999</v>
      </c>
      <c r="AG297" s="12">
        <v>-1830</v>
      </c>
      <c r="AH297" s="12">
        <v>-2</v>
      </c>
      <c r="AI297" s="12">
        <v>0.23</v>
      </c>
      <c r="AJ297" s="12">
        <v>0.379</v>
      </c>
      <c r="AK297" s="12">
        <v>-1080</v>
      </c>
      <c r="AL297" s="12">
        <v>30</v>
      </c>
      <c r="AM297" s="12" t="s">
        <v>44</v>
      </c>
      <c r="AN297" s="12">
        <v>6.3</v>
      </c>
      <c r="AO297" s="12" t="s">
        <v>105</v>
      </c>
      <c r="AP297" s="12">
        <v>1</v>
      </c>
      <c r="AQ297" s="12">
        <v>138</v>
      </c>
    </row>
    <row r="298" spans="1:43" x14ac:dyDescent="0.2">
      <c r="A298" s="12" t="s">
        <v>42</v>
      </c>
      <c r="B298" s="12" t="s">
        <v>43</v>
      </c>
      <c r="C298" s="12">
        <v>86.14</v>
      </c>
      <c r="D298" s="12" t="s">
        <v>44</v>
      </c>
      <c r="E298" s="12"/>
      <c r="F298" s="12"/>
      <c r="G298" s="12" t="s">
        <v>44</v>
      </c>
      <c r="H298" s="12">
        <v>1</v>
      </c>
      <c r="I298" s="12" t="s">
        <v>45</v>
      </c>
      <c r="J298" s="12" t="s">
        <v>46</v>
      </c>
      <c r="K298" s="12">
        <v>265.5</v>
      </c>
      <c r="L298" s="12">
        <v>0.153</v>
      </c>
      <c r="M298" s="12" t="s">
        <v>98</v>
      </c>
      <c r="N298" s="12" t="s">
        <v>44</v>
      </c>
      <c r="O298" s="12" t="s">
        <v>44</v>
      </c>
      <c r="P298" s="12" t="s">
        <v>44</v>
      </c>
      <c r="Q298" s="12" t="s">
        <v>44</v>
      </c>
      <c r="R298" s="12">
        <v>1.153</v>
      </c>
      <c r="S298" s="13">
        <f t="shared" si="4"/>
        <v>20.149999999999999</v>
      </c>
      <c r="T298" s="12" t="s">
        <v>44</v>
      </c>
      <c r="U298" s="12" t="s">
        <v>44</v>
      </c>
      <c r="V298" s="12" t="s">
        <v>48</v>
      </c>
      <c r="W298" s="12" t="s">
        <v>44</v>
      </c>
      <c r="X298" s="12" t="s">
        <v>44</v>
      </c>
      <c r="Y298" s="12" t="s">
        <v>44</v>
      </c>
      <c r="Z298" s="12">
        <v>10</v>
      </c>
      <c r="AA298" s="12">
        <v>1000</v>
      </c>
      <c r="AB298" s="12" t="s">
        <v>115</v>
      </c>
      <c r="AC298" s="12" t="s">
        <v>50</v>
      </c>
      <c r="AD298" s="12">
        <v>3</v>
      </c>
      <c r="AE298" s="12">
        <v>5.2999999999999999E-2</v>
      </c>
      <c r="AF298" s="12">
        <v>0.47499999999999998</v>
      </c>
      <c r="AG298" s="12">
        <v>-4525</v>
      </c>
      <c r="AH298" s="12">
        <v>-2</v>
      </c>
      <c r="AI298" s="12">
        <v>0.23</v>
      </c>
      <c r="AJ298" s="12">
        <v>0.379</v>
      </c>
      <c r="AK298" s="12">
        <v>-1080</v>
      </c>
      <c r="AL298" s="12">
        <v>30</v>
      </c>
      <c r="AM298" s="12" t="s">
        <v>44</v>
      </c>
      <c r="AN298" s="12">
        <v>6.3</v>
      </c>
      <c r="AO298" s="12" t="s">
        <v>105</v>
      </c>
      <c r="AP298" s="12">
        <v>1</v>
      </c>
      <c r="AQ298" s="12">
        <v>139</v>
      </c>
    </row>
    <row r="299" spans="1:43" x14ac:dyDescent="0.2">
      <c r="A299" s="12" t="s">
        <v>42</v>
      </c>
      <c r="B299" s="12" t="s">
        <v>43</v>
      </c>
      <c r="C299" s="12">
        <v>86.14</v>
      </c>
      <c r="D299" s="12" t="s">
        <v>44</v>
      </c>
      <c r="E299" s="12"/>
      <c r="F299" s="12"/>
      <c r="G299" s="12" t="s">
        <v>44</v>
      </c>
      <c r="H299" s="12">
        <v>1</v>
      </c>
      <c r="I299" s="12" t="s">
        <v>45</v>
      </c>
      <c r="J299" s="12" t="s">
        <v>46</v>
      </c>
      <c r="K299" s="12">
        <v>265.5</v>
      </c>
      <c r="L299" s="12">
        <v>0.1</v>
      </c>
      <c r="M299" s="12" t="s">
        <v>47</v>
      </c>
      <c r="N299" s="12" t="s">
        <v>44</v>
      </c>
      <c r="O299" s="12" t="s">
        <v>44</v>
      </c>
      <c r="P299" s="12" t="s">
        <v>44</v>
      </c>
      <c r="Q299" s="12" t="s">
        <v>44</v>
      </c>
      <c r="R299" s="12">
        <v>1.1000000000000001</v>
      </c>
      <c r="S299" s="13">
        <f t="shared" si="4"/>
        <v>30.82</v>
      </c>
      <c r="T299" s="12" t="s">
        <v>44</v>
      </c>
      <c r="U299" s="12" t="s">
        <v>44</v>
      </c>
      <c r="V299" s="12" t="s">
        <v>48</v>
      </c>
      <c r="W299" s="12" t="s">
        <v>44</v>
      </c>
      <c r="X299" s="12">
        <v>3</v>
      </c>
      <c r="Y299" s="12">
        <v>90</v>
      </c>
      <c r="Z299" s="12">
        <v>10.3</v>
      </c>
      <c r="AA299" s="12">
        <v>1000</v>
      </c>
      <c r="AB299" s="12" t="s">
        <v>69</v>
      </c>
      <c r="AC299" s="12" t="s">
        <v>50</v>
      </c>
      <c r="AD299" s="12">
        <v>2</v>
      </c>
      <c r="AE299" s="12">
        <v>7.1999999999999995E-2</v>
      </c>
      <c r="AF299" s="12">
        <v>0.42799999999999999</v>
      </c>
      <c r="AG299" s="12">
        <v>-1830</v>
      </c>
      <c r="AH299" s="12">
        <v>-2</v>
      </c>
      <c r="AI299" s="12">
        <v>0.23</v>
      </c>
      <c r="AJ299" s="12">
        <v>0.379</v>
      </c>
      <c r="AK299" s="12">
        <v>-1080</v>
      </c>
      <c r="AL299" s="12">
        <v>45</v>
      </c>
      <c r="AM299" s="12" t="s">
        <v>44</v>
      </c>
      <c r="AN299" s="12">
        <v>6.3</v>
      </c>
      <c r="AO299" s="12" t="s">
        <v>101</v>
      </c>
      <c r="AP299" s="12">
        <v>1</v>
      </c>
      <c r="AQ299" s="12">
        <v>140</v>
      </c>
    </row>
    <row r="300" spans="1:43" x14ac:dyDescent="0.2">
      <c r="A300" s="12" t="s">
        <v>108</v>
      </c>
      <c r="B300" s="12" t="s">
        <v>109</v>
      </c>
      <c r="C300" s="12">
        <v>142.24</v>
      </c>
      <c r="D300" s="12" t="s">
        <v>44</v>
      </c>
      <c r="E300" s="12"/>
      <c r="F300" s="12"/>
      <c r="G300" s="12" t="s">
        <v>44</v>
      </c>
      <c r="H300" s="12">
        <v>1</v>
      </c>
      <c r="I300" s="12" t="s">
        <v>45</v>
      </c>
      <c r="J300" s="12" t="s">
        <v>46</v>
      </c>
      <c r="K300" s="12">
        <v>265.5</v>
      </c>
      <c r="L300" s="12">
        <v>0.2</v>
      </c>
      <c r="M300" s="12" t="s">
        <v>47</v>
      </c>
      <c r="N300" s="12" t="s">
        <v>44</v>
      </c>
      <c r="O300" s="12" t="s">
        <v>44</v>
      </c>
      <c r="P300" s="12" t="s">
        <v>44</v>
      </c>
      <c r="Q300" s="12" t="s">
        <v>44</v>
      </c>
      <c r="R300" s="12">
        <v>1.2</v>
      </c>
      <c r="S300" s="13">
        <f t="shared" si="4"/>
        <v>9.33</v>
      </c>
      <c r="T300" s="12" t="s">
        <v>44</v>
      </c>
      <c r="U300" s="12" t="s">
        <v>44</v>
      </c>
      <c r="V300" s="12" t="s">
        <v>48</v>
      </c>
      <c r="W300" s="12" t="s">
        <v>44</v>
      </c>
      <c r="X300" s="12">
        <v>3</v>
      </c>
      <c r="Y300" s="12">
        <v>65</v>
      </c>
      <c r="Z300" s="12">
        <v>10</v>
      </c>
      <c r="AA300" s="12">
        <v>2000</v>
      </c>
      <c r="AB300" s="12" t="s">
        <v>49</v>
      </c>
      <c r="AC300" s="12" t="s">
        <v>52</v>
      </c>
      <c r="AD300" s="12">
        <v>1</v>
      </c>
      <c r="AE300" s="12">
        <v>0.10199999999999999</v>
      </c>
      <c r="AF300" s="12">
        <v>0.35799999999999998</v>
      </c>
      <c r="AG300" s="12">
        <v>-365</v>
      </c>
      <c r="AH300" s="12">
        <v>-1</v>
      </c>
      <c r="AI300" s="12">
        <v>0.18099999999999999</v>
      </c>
      <c r="AJ300" s="12">
        <v>0.33200000000000002</v>
      </c>
      <c r="AK300" s="12">
        <v>-340</v>
      </c>
      <c r="AL300" s="12">
        <v>90</v>
      </c>
      <c r="AM300" s="12" t="s">
        <v>44</v>
      </c>
      <c r="AN300" s="12">
        <v>6.3</v>
      </c>
      <c r="AO300" s="12" t="s">
        <v>110</v>
      </c>
      <c r="AP300" s="12">
        <v>1</v>
      </c>
      <c r="AQ300" s="12">
        <v>141</v>
      </c>
    </row>
    <row r="301" spans="1:43" x14ac:dyDescent="0.2">
      <c r="A301" s="12" t="s">
        <v>77</v>
      </c>
      <c r="B301" s="12" t="s">
        <v>78</v>
      </c>
      <c r="C301" s="12">
        <v>114.19</v>
      </c>
      <c r="D301" s="12" t="s">
        <v>44</v>
      </c>
      <c r="E301" s="12"/>
      <c r="F301" s="12"/>
      <c r="G301" s="12" t="s">
        <v>44</v>
      </c>
      <c r="H301" s="12">
        <v>2</v>
      </c>
      <c r="I301" s="12" t="s">
        <v>45</v>
      </c>
      <c r="J301" s="12" t="s">
        <v>46</v>
      </c>
      <c r="K301" s="12">
        <v>265.5</v>
      </c>
      <c r="L301" s="12">
        <v>0.25</v>
      </c>
      <c r="M301" s="12" t="s">
        <v>47</v>
      </c>
      <c r="N301" s="12" t="s">
        <v>44</v>
      </c>
      <c r="O301" s="12" t="s">
        <v>44</v>
      </c>
      <c r="P301" s="12" t="s">
        <v>44</v>
      </c>
      <c r="Q301" s="12" t="s">
        <v>44</v>
      </c>
      <c r="R301" s="12">
        <v>2.25</v>
      </c>
      <c r="S301" s="13">
        <f t="shared" si="4"/>
        <v>18.600000000000001</v>
      </c>
      <c r="T301" s="12" t="s">
        <v>44</v>
      </c>
      <c r="U301" s="12" t="s">
        <v>44</v>
      </c>
      <c r="V301" s="12" t="s">
        <v>48</v>
      </c>
      <c r="W301" s="12" t="s">
        <v>44</v>
      </c>
      <c r="X301" s="12">
        <v>3</v>
      </c>
      <c r="Y301" s="12">
        <v>80</v>
      </c>
      <c r="Z301" s="12">
        <v>6</v>
      </c>
      <c r="AA301" s="12">
        <v>2000</v>
      </c>
      <c r="AB301" s="12" t="s">
        <v>49</v>
      </c>
      <c r="AC301" s="12" t="s">
        <v>50</v>
      </c>
      <c r="AD301" s="12">
        <v>1</v>
      </c>
      <c r="AE301" s="12">
        <v>0.10199999999999999</v>
      </c>
      <c r="AF301" s="12">
        <v>0.35799999999999998</v>
      </c>
      <c r="AG301" s="12">
        <v>-365</v>
      </c>
      <c r="AH301" s="12">
        <v>-2</v>
      </c>
      <c r="AI301" s="12">
        <v>0.23</v>
      </c>
      <c r="AJ301" s="12">
        <v>0.379</v>
      </c>
      <c r="AK301" s="12">
        <v>-1080</v>
      </c>
      <c r="AL301" s="12">
        <v>15</v>
      </c>
      <c r="AM301" s="12" t="s">
        <v>44</v>
      </c>
      <c r="AN301" s="12">
        <v>6.3</v>
      </c>
      <c r="AO301" s="12" t="s">
        <v>80</v>
      </c>
      <c r="AP301" s="12">
        <v>1</v>
      </c>
      <c r="AQ301" s="12">
        <v>142</v>
      </c>
    </row>
    <row r="302" spans="1:43" x14ac:dyDescent="0.2">
      <c r="A302" t="s">
        <v>63</v>
      </c>
      <c r="B302" t="s">
        <v>64</v>
      </c>
      <c r="C302">
        <v>228.29</v>
      </c>
      <c r="D302" t="s">
        <v>44</v>
      </c>
      <c r="G302" t="s">
        <v>44</v>
      </c>
      <c r="H302">
        <v>1</v>
      </c>
      <c r="I302" t="s">
        <v>45</v>
      </c>
      <c r="J302" t="s">
        <v>46</v>
      </c>
      <c r="K302">
        <v>265.5</v>
      </c>
      <c r="L302">
        <v>0.15</v>
      </c>
      <c r="M302" t="s">
        <v>47</v>
      </c>
      <c r="N302" t="s">
        <v>44</v>
      </c>
      <c r="O302" t="s">
        <v>44</v>
      </c>
      <c r="P302" t="s">
        <v>44</v>
      </c>
      <c r="Q302" t="s">
        <v>44</v>
      </c>
      <c r="R302">
        <v>1.1499999999999999</v>
      </c>
      <c r="S302" s="5">
        <f t="shared" si="4"/>
        <v>7.75</v>
      </c>
      <c r="T302" t="s">
        <v>44</v>
      </c>
      <c r="U302" t="s">
        <v>44</v>
      </c>
      <c r="V302" t="s">
        <v>48</v>
      </c>
      <c r="W302" t="s">
        <v>44</v>
      </c>
      <c r="X302" t="s">
        <v>44</v>
      </c>
      <c r="Y302" t="s">
        <v>44</v>
      </c>
      <c r="Z302">
        <v>3.1</v>
      </c>
      <c r="AA302">
        <v>5.8659999999999997E-2</v>
      </c>
      <c r="AB302" t="s">
        <v>49</v>
      </c>
      <c r="AC302" t="s">
        <v>52</v>
      </c>
      <c r="AD302">
        <v>1</v>
      </c>
      <c r="AE302">
        <v>0.10199999999999999</v>
      </c>
      <c r="AF302">
        <v>0.35799999999999998</v>
      </c>
      <c r="AG302">
        <v>-365</v>
      </c>
      <c r="AH302">
        <v>-1</v>
      </c>
      <c r="AI302">
        <v>0.18099999999999999</v>
      </c>
      <c r="AJ302">
        <v>0.33200000000000002</v>
      </c>
      <c r="AK302">
        <v>-340</v>
      </c>
      <c r="AL302">
        <v>60</v>
      </c>
      <c r="AM302" t="s">
        <v>44</v>
      </c>
      <c r="AN302">
        <v>6.4</v>
      </c>
      <c r="AO302" t="s">
        <v>65</v>
      </c>
      <c r="AP302">
        <v>1</v>
      </c>
      <c r="AQ302">
        <v>134</v>
      </c>
    </row>
    <row r="303" spans="1:43" x14ac:dyDescent="0.2">
      <c r="A303" t="s">
        <v>42</v>
      </c>
      <c r="B303" t="s">
        <v>43</v>
      </c>
      <c r="C303">
        <v>86.14</v>
      </c>
      <c r="D303" t="s">
        <v>44</v>
      </c>
      <c r="G303" t="s">
        <v>44</v>
      </c>
      <c r="H303">
        <v>0.35</v>
      </c>
      <c r="I303" t="s">
        <v>45</v>
      </c>
      <c r="J303" t="s">
        <v>46</v>
      </c>
      <c r="K303">
        <v>265.5</v>
      </c>
      <c r="L303">
        <v>0.35</v>
      </c>
      <c r="M303" t="s">
        <v>47</v>
      </c>
      <c r="N303" t="s">
        <v>44</v>
      </c>
      <c r="O303" t="s">
        <v>44</v>
      </c>
      <c r="P303" t="s">
        <v>44</v>
      </c>
      <c r="Q303" t="s">
        <v>44</v>
      </c>
      <c r="R303">
        <v>0.7</v>
      </c>
      <c r="S303" s="5">
        <f t="shared" si="4"/>
        <v>3.08</v>
      </c>
      <c r="T303" t="s">
        <v>44</v>
      </c>
      <c r="U303" t="s">
        <v>44</v>
      </c>
      <c r="V303" t="s">
        <v>48</v>
      </c>
      <c r="W303" t="s">
        <v>44</v>
      </c>
      <c r="X303">
        <v>20</v>
      </c>
      <c r="Y303">
        <v>50</v>
      </c>
      <c r="Z303">
        <v>6</v>
      </c>
      <c r="AA303">
        <v>3000</v>
      </c>
      <c r="AB303" t="s">
        <v>49</v>
      </c>
      <c r="AC303" t="s">
        <v>52</v>
      </c>
      <c r="AD303">
        <v>1</v>
      </c>
      <c r="AE303">
        <v>0.10199999999999999</v>
      </c>
      <c r="AF303">
        <v>0.35799999999999998</v>
      </c>
      <c r="AG303">
        <v>-365</v>
      </c>
      <c r="AH303">
        <v>-1</v>
      </c>
      <c r="AI303">
        <v>0.18099999999999999</v>
      </c>
      <c r="AJ303">
        <v>0.33200000000000002</v>
      </c>
      <c r="AK303">
        <v>-340</v>
      </c>
      <c r="AL303">
        <v>120</v>
      </c>
      <c r="AM303" t="s">
        <v>44</v>
      </c>
      <c r="AN303">
        <v>6.4</v>
      </c>
      <c r="AO303" t="s">
        <v>114</v>
      </c>
      <c r="AP303">
        <v>1</v>
      </c>
      <c r="AQ303">
        <v>135</v>
      </c>
    </row>
    <row r="304" spans="1:43" x14ac:dyDescent="0.2">
      <c r="A304" t="s">
        <v>63</v>
      </c>
      <c r="B304" t="s">
        <v>64</v>
      </c>
      <c r="C304">
        <v>228.29</v>
      </c>
      <c r="D304" t="s">
        <v>44</v>
      </c>
      <c r="G304" t="s">
        <v>44</v>
      </c>
      <c r="H304">
        <v>1</v>
      </c>
      <c r="I304" t="s">
        <v>45</v>
      </c>
      <c r="J304" t="s">
        <v>46</v>
      </c>
      <c r="K304">
        <v>265.5</v>
      </c>
      <c r="L304">
        <v>0.15</v>
      </c>
      <c r="M304" t="s">
        <v>47</v>
      </c>
      <c r="N304" t="s">
        <v>44</v>
      </c>
      <c r="O304" t="s">
        <v>44</v>
      </c>
      <c r="P304" t="s">
        <v>44</v>
      </c>
      <c r="Q304" t="s">
        <v>44</v>
      </c>
      <c r="R304">
        <v>1.1499999999999999</v>
      </c>
      <c r="S304" s="5">
        <f t="shared" si="4"/>
        <v>7.75</v>
      </c>
      <c r="T304" t="s">
        <v>44</v>
      </c>
      <c r="U304" t="s">
        <v>44</v>
      </c>
      <c r="V304" t="s">
        <v>48</v>
      </c>
      <c r="W304" t="s">
        <v>44</v>
      </c>
      <c r="X304" t="s">
        <v>44</v>
      </c>
      <c r="Y304" t="s">
        <v>44</v>
      </c>
      <c r="Z304">
        <v>1.72</v>
      </c>
      <c r="AA304">
        <v>5.8659999999999997E-2</v>
      </c>
      <c r="AB304" t="s">
        <v>49</v>
      </c>
      <c r="AC304" t="s">
        <v>52</v>
      </c>
      <c r="AD304">
        <v>1</v>
      </c>
      <c r="AE304">
        <v>0.10199999999999999</v>
      </c>
      <c r="AF304">
        <v>0.35799999999999998</v>
      </c>
      <c r="AG304">
        <v>-365</v>
      </c>
      <c r="AH304">
        <v>-1</v>
      </c>
      <c r="AI304">
        <v>0.18099999999999999</v>
      </c>
      <c r="AJ304">
        <v>0.33200000000000002</v>
      </c>
      <c r="AK304">
        <v>-340</v>
      </c>
      <c r="AL304">
        <v>60</v>
      </c>
      <c r="AM304" t="s">
        <v>44</v>
      </c>
      <c r="AN304">
        <v>6.5</v>
      </c>
      <c r="AO304" t="s">
        <v>65</v>
      </c>
      <c r="AP304">
        <v>1</v>
      </c>
      <c r="AQ304">
        <v>132</v>
      </c>
    </row>
    <row r="305" spans="1:43" x14ac:dyDescent="0.2">
      <c r="A305" t="s">
        <v>108</v>
      </c>
      <c r="B305" t="s">
        <v>109</v>
      </c>
      <c r="C305">
        <v>142.24</v>
      </c>
      <c r="D305" t="s">
        <v>44</v>
      </c>
      <c r="G305" t="s">
        <v>44</v>
      </c>
      <c r="H305">
        <v>2</v>
      </c>
      <c r="I305" t="s">
        <v>45</v>
      </c>
      <c r="J305" t="s">
        <v>46</v>
      </c>
      <c r="K305">
        <v>265.5</v>
      </c>
      <c r="L305">
        <v>0.2</v>
      </c>
      <c r="M305" t="s">
        <v>47</v>
      </c>
      <c r="N305" t="s">
        <v>44</v>
      </c>
      <c r="O305" t="s">
        <v>44</v>
      </c>
      <c r="P305" t="s">
        <v>44</v>
      </c>
      <c r="Q305" t="s">
        <v>44</v>
      </c>
      <c r="R305">
        <v>2.2000000000000002</v>
      </c>
      <c r="S305" s="5">
        <f t="shared" si="4"/>
        <v>18.670000000000002</v>
      </c>
      <c r="T305" t="s">
        <v>44</v>
      </c>
      <c r="U305" t="s">
        <v>44</v>
      </c>
      <c r="V305" t="s">
        <v>48</v>
      </c>
      <c r="W305" t="s">
        <v>44</v>
      </c>
      <c r="X305">
        <v>3</v>
      </c>
      <c r="Y305">
        <v>65</v>
      </c>
      <c r="Z305">
        <v>10</v>
      </c>
      <c r="AA305">
        <v>2000</v>
      </c>
      <c r="AB305" t="s">
        <v>49</v>
      </c>
      <c r="AC305" t="s">
        <v>52</v>
      </c>
      <c r="AD305">
        <v>1</v>
      </c>
      <c r="AE305">
        <v>0.10199999999999999</v>
      </c>
      <c r="AF305">
        <v>0.35799999999999998</v>
      </c>
      <c r="AG305">
        <v>-365</v>
      </c>
      <c r="AH305">
        <v>-1</v>
      </c>
      <c r="AI305">
        <v>0.18099999999999999</v>
      </c>
      <c r="AJ305">
        <v>0.33200000000000002</v>
      </c>
      <c r="AK305">
        <v>-340</v>
      </c>
      <c r="AL305">
        <v>20</v>
      </c>
      <c r="AM305" t="s">
        <v>44</v>
      </c>
      <c r="AN305">
        <v>6.5</v>
      </c>
      <c r="AO305" t="s">
        <v>110</v>
      </c>
      <c r="AP305">
        <v>1</v>
      </c>
      <c r="AQ305">
        <v>133</v>
      </c>
    </row>
    <row r="306" spans="1:43" x14ac:dyDescent="0.2">
      <c r="A306" s="2" t="s">
        <v>42</v>
      </c>
      <c r="B306" s="2" t="s">
        <v>43</v>
      </c>
      <c r="C306" s="2">
        <v>86.14</v>
      </c>
      <c r="D306" s="2" t="s">
        <v>44</v>
      </c>
      <c r="E306" s="2"/>
      <c r="F306" s="2"/>
      <c r="G306" s="2" t="s">
        <v>44</v>
      </c>
      <c r="H306" s="2">
        <v>0.5</v>
      </c>
      <c r="I306" s="2" t="s">
        <v>45</v>
      </c>
      <c r="J306" s="2" t="s">
        <v>46</v>
      </c>
      <c r="K306" s="2">
        <v>265.5</v>
      </c>
      <c r="L306" s="2">
        <v>0.153</v>
      </c>
      <c r="M306" s="2" t="s">
        <v>98</v>
      </c>
      <c r="N306" s="2" t="s">
        <v>44</v>
      </c>
      <c r="O306" s="2" t="s">
        <v>44</v>
      </c>
      <c r="P306" s="2" t="s">
        <v>44</v>
      </c>
      <c r="Q306" s="2" t="s">
        <v>44</v>
      </c>
      <c r="R306" s="2">
        <v>0.65300000000000002</v>
      </c>
      <c r="S306" s="3">
        <f t="shared" si="4"/>
        <v>10.07</v>
      </c>
      <c r="T306" s="2" t="s">
        <v>44</v>
      </c>
      <c r="U306" s="2" t="s">
        <v>44</v>
      </c>
      <c r="V306" s="2" t="s">
        <v>48</v>
      </c>
      <c r="W306" s="2" t="s">
        <v>44</v>
      </c>
      <c r="X306" s="2" t="s">
        <v>44</v>
      </c>
      <c r="Y306" s="2" t="s">
        <v>44</v>
      </c>
      <c r="Z306" s="2">
        <v>10</v>
      </c>
      <c r="AA306" s="2">
        <v>1000</v>
      </c>
      <c r="AB306" s="2" t="s">
        <v>49</v>
      </c>
      <c r="AC306" s="2" t="s">
        <v>50</v>
      </c>
      <c r="AD306" s="2">
        <v>1</v>
      </c>
      <c r="AE306" s="2">
        <v>0.10199999999999999</v>
      </c>
      <c r="AF306" s="2">
        <v>0.35799999999999998</v>
      </c>
      <c r="AG306" s="2">
        <v>-365</v>
      </c>
      <c r="AH306" s="2">
        <v>-2</v>
      </c>
      <c r="AI306" s="2">
        <v>0.23</v>
      </c>
      <c r="AJ306" s="2">
        <v>0.379</v>
      </c>
      <c r="AK306" s="2">
        <v>-1080</v>
      </c>
      <c r="AL306" s="2">
        <v>30</v>
      </c>
      <c r="AM306" s="2" t="s">
        <v>44</v>
      </c>
      <c r="AN306" s="2">
        <v>6.6</v>
      </c>
      <c r="AO306" s="2" t="s">
        <v>105</v>
      </c>
      <c r="AP306" s="2">
        <v>1</v>
      </c>
      <c r="AQ306" s="2">
        <v>126</v>
      </c>
    </row>
    <row r="307" spans="1:43" x14ac:dyDescent="0.2">
      <c r="A307" s="2" t="s">
        <v>42</v>
      </c>
      <c r="B307" s="2" t="s">
        <v>43</v>
      </c>
      <c r="C307" s="2">
        <v>86.14</v>
      </c>
      <c r="D307" s="2" t="s">
        <v>44</v>
      </c>
      <c r="E307" s="2"/>
      <c r="F307" s="2"/>
      <c r="G307" s="2" t="s">
        <v>44</v>
      </c>
      <c r="H307" s="2">
        <v>1</v>
      </c>
      <c r="I307" s="2" t="s">
        <v>45</v>
      </c>
      <c r="J307" s="2" t="s">
        <v>46</v>
      </c>
      <c r="K307" s="2">
        <v>265.5</v>
      </c>
      <c r="L307" s="2">
        <v>0.153</v>
      </c>
      <c r="M307" s="2" t="s">
        <v>98</v>
      </c>
      <c r="N307" s="2" t="s">
        <v>44</v>
      </c>
      <c r="O307" s="2" t="s">
        <v>44</v>
      </c>
      <c r="P307" s="2" t="s">
        <v>44</v>
      </c>
      <c r="Q307" s="2" t="s">
        <v>44</v>
      </c>
      <c r="R307" s="2">
        <v>1.153</v>
      </c>
      <c r="S307" s="3">
        <f t="shared" si="4"/>
        <v>20.149999999999999</v>
      </c>
      <c r="T307" s="2" t="s">
        <v>44</v>
      </c>
      <c r="U307" s="2" t="s">
        <v>44</v>
      </c>
      <c r="V307" s="2" t="s">
        <v>48</v>
      </c>
      <c r="W307" s="2" t="s">
        <v>44</v>
      </c>
      <c r="X307" s="2" t="s">
        <v>44</v>
      </c>
      <c r="Y307" s="2" t="s">
        <v>44</v>
      </c>
      <c r="Z307" s="2">
        <v>10</v>
      </c>
      <c r="AA307" s="2">
        <v>1000</v>
      </c>
      <c r="AB307" s="2" t="s">
        <v>69</v>
      </c>
      <c r="AC307" s="2" t="s">
        <v>52</v>
      </c>
      <c r="AD307" s="2">
        <v>2</v>
      </c>
      <c r="AE307" s="2">
        <v>7.1999999999999995E-2</v>
      </c>
      <c r="AF307" s="2">
        <v>0.42799999999999999</v>
      </c>
      <c r="AG307" s="2">
        <v>-1830</v>
      </c>
      <c r="AH307" s="2">
        <v>-1</v>
      </c>
      <c r="AI307" s="2">
        <v>0.18099999999999999</v>
      </c>
      <c r="AJ307" s="2">
        <v>0.33200000000000002</v>
      </c>
      <c r="AK307" s="2">
        <v>-340</v>
      </c>
      <c r="AL307" s="2">
        <v>30</v>
      </c>
      <c r="AM307" s="2" t="s">
        <v>44</v>
      </c>
      <c r="AN307" s="2">
        <v>6.6</v>
      </c>
      <c r="AO307" s="2" t="s">
        <v>105</v>
      </c>
      <c r="AP307" s="2">
        <v>1</v>
      </c>
      <c r="AQ307" s="2">
        <v>127</v>
      </c>
    </row>
    <row r="308" spans="1:43" x14ac:dyDescent="0.2">
      <c r="A308" s="2" t="s">
        <v>67</v>
      </c>
      <c r="B308" s="2" t="s">
        <v>68</v>
      </c>
      <c r="C308" s="2">
        <v>210.27</v>
      </c>
      <c r="D308" s="2" t="s">
        <v>44</v>
      </c>
      <c r="E308" s="2"/>
      <c r="F308" s="2"/>
      <c r="G308" s="2" t="s">
        <v>44</v>
      </c>
      <c r="H308" s="2">
        <v>4</v>
      </c>
      <c r="I308" s="2" t="s">
        <v>45</v>
      </c>
      <c r="J308" s="2" t="s">
        <v>46</v>
      </c>
      <c r="K308" s="2">
        <v>265.5</v>
      </c>
      <c r="L308" s="2">
        <v>0.2</v>
      </c>
      <c r="M308" s="2" t="s">
        <v>47</v>
      </c>
      <c r="N308" s="2" t="s">
        <v>61</v>
      </c>
      <c r="O308" s="2">
        <v>0.1</v>
      </c>
      <c r="P308" s="2" t="s">
        <v>44</v>
      </c>
      <c r="Q308" s="2" t="s">
        <v>44</v>
      </c>
      <c r="R308" s="2">
        <v>4.2</v>
      </c>
      <c r="S308" s="3">
        <f t="shared" si="4"/>
        <v>25.25</v>
      </c>
      <c r="T308" s="2" t="s">
        <v>44</v>
      </c>
      <c r="U308" s="2" t="s">
        <v>44</v>
      </c>
      <c r="V308" s="2" t="s">
        <v>48</v>
      </c>
      <c r="W308" s="2" t="s">
        <v>44</v>
      </c>
      <c r="X308" s="2">
        <v>15</v>
      </c>
      <c r="Y308" s="2">
        <v>80</v>
      </c>
      <c r="Z308" s="2">
        <v>4</v>
      </c>
      <c r="AA308" s="2">
        <v>2000</v>
      </c>
      <c r="AB308" s="2" t="s">
        <v>69</v>
      </c>
      <c r="AC308" s="2" t="s">
        <v>50</v>
      </c>
      <c r="AD308" s="2">
        <v>2</v>
      </c>
      <c r="AE308" s="2">
        <v>7.1999999999999995E-2</v>
      </c>
      <c r="AF308" s="2">
        <v>0.42799999999999999</v>
      </c>
      <c r="AG308" s="2">
        <v>-1830</v>
      </c>
      <c r="AH308" s="2">
        <v>-2</v>
      </c>
      <c r="AI308" s="2">
        <v>0.23</v>
      </c>
      <c r="AJ308" s="2">
        <v>0.379</v>
      </c>
      <c r="AK308" s="2">
        <v>-1080</v>
      </c>
      <c r="AL308" s="2">
        <v>360</v>
      </c>
      <c r="AM308" s="2" t="s">
        <v>44</v>
      </c>
      <c r="AN308" s="2">
        <v>6.6</v>
      </c>
      <c r="AO308" s="2" t="s">
        <v>70</v>
      </c>
      <c r="AP308" s="2">
        <v>1</v>
      </c>
      <c r="AQ308" s="2">
        <v>128</v>
      </c>
    </row>
    <row r="309" spans="1:43" x14ac:dyDescent="0.2">
      <c r="A309" s="2" t="s">
        <v>42</v>
      </c>
      <c r="B309" s="2" t="s">
        <v>43</v>
      </c>
      <c r="C309" s="2">
        <v>86.14</v>
      </c>
      <c r="D309" s="2" t="s">
        <v>44</v>
      </c>
      <c r="E309" s="2"/>
      <c r="F309" s="2"/>
      <c r="G309" s="2" t="s">
        <v>44</v>
      </c>
      <c r="H309" s="2">
        <v>1</v>
      </c>
      <c r="I309" s="2" t="s">
        <v>45</v>
      </c>
      <c r="J309" s="2" t="s">
        <v>46</v>
      </c>
      <c r="K309" s="2">
        <v>265.5</v>
      </c>
      <c r="L309" s="2">
        <v>0.13</v>
      </c>
      <c r="M309" s="2" t="s">
        <v>113</v>
      </c>
      <c r="N309" s="2" t="s">
        <v>44</v>
      </c>
      <c r="O309" s="2" t="s">
        <v>44</v>
      </c>
      <c r="P309" s="2" t="s">
        <v>85</v>
      </c>
      <c r="Q309" s="2">
        <v>0.2</v>
      </c>
      <c r="R309" s="2">
        <v>1.1299999999999999</v>
      </c>
      <c r="S309" s="3">
        <f t="shared" si="4"/>
        <v>23.71</v>
      </c>
      <c r="T309" s="2" t="s">
        <v>44</v>
      </c>
      <c r="U309" s="2" t="s">
        <v>44</v>
      </c>
      <c r="V309" s="2" t="s">
        <v>48</v>
      </c>
      <c r="W309" s="2" t="s">
        <v>44</v>
      </c>
      <c r="X309" s="2" t="s">
        <v>44</v>
      </c>
      <c r="Y309" s="2">
        <v>25</v>
      </c>
      <c r="Z309" s="2">
        <v>10</v>
      </c>
      <c r="AA309" s="2">
        <v>3000</v>
      </c>
      <c r="AB309" s="2" t="s">
        <v>49</v>
      </c>
      <c r="AC309" s="2" t="s">
        <v>52</v>
      </c>
      <c r="AD309" s="2">
        <v>1</v>
      </c>
      <c r="AE309" s="2">
        <v>0.10199999999999999</v>
      </c>
      <c r="AF309" s="2">
        <v>0.35799999999999998</v>
      </c>
      <c r="AG309" s="2">
        <v>-365</v>
      </c>
      <c r="AH309" s="2">
        <v>-1</v>
      </c>
      <c r="AI309" s="2">
        <v>0.18099999999999999</v>
      </c>
      <c r="AJ309" s="2">
        <v>0.33200000000000002</v>
      </c>
      <c r="AK309" s="2">
        <v>-340</v>
      </c>
      <c r="AL309" s="2">
        <v>10</v>
      </c>
      <c r="AM309" s="2" t="s">
        <v>44</v>
      </c>
      <c r="AN309" s="2">
        <v>6.6</v>
      </c>
      <c r="AO309" s="2" t="s">
        <v>99</v>
      </c>
      <c r="AP309" s="2">
        <v>1</v>
      </c>
      <c r="AQ309" s="2">
        <v>129</v>
      </c>
    </row>
    <row r="310" spans="1:43" x14ac:dyDescent="0.2">
      <c r="A310" s="2" t="s">
        <v>42</v>
      </c>
      <c r="B310" s="2" t="s">
        <v>43</v>
      </c>
      <c r="C310" s="2">
        <v>86.14</v>
      </c>
      <c r="D310" s="2" t="s">
        <v>44</v>
      </c>
      <c r="E310" s="2"/>
      <c r="F310" s="2"/>
      <c r="G310" s="2" t="s">
        <v>44</v>
      </c>
      <c r="H310" s="2">
        <v>1</v>
      </c>
      <c r="I310" s="2" t="s">
        <v>45</v>
      </c>
      <c r="J310" s="2" t="s">
        <v>46</v>
      </c>
      <c r="K310" s="2">
        <v>265.5</v>
      </c>
      <c r="L310" s="2">
        <v>0.13</v>
      </c>
      <c r="M310" s="2" t="s">
        <v>113</v>
      </c>
      <c r="N310" s="2" t="s">
        <v>44</v>
      </c>
      <c r="O310" s="2" t="s">
        <v>44</v>
      </c>
      <c r="P310" s="2" t="s">
        <v>85</v>
      </c>
      <c r="Q310" s="2">
        <v>0.2</v>
      </c>
      <c r="R310" s="2">
        <v>1.1299999999999999</v>
      </c>
      <c r="S310" s="3">
        <f t="shared" si="4"/>
        <v>23.71</v>
      </c>
      <c r="T310" s="2" t="s">
        <v>44</v>
      </c>
      <c r="U310" s="2" t="s">
        <v>44</v>
      </c>
      <c r="V310" s="2" t="s">
        <v>48</v>
      </c>
      <c r="W310" s="2" t="s">
        <v>44</v>
      </c>
      <c r="X310" s="2" t="s">
        <v>44</v>
      </c>
      <c r="Y310" s="2">
        <v>25</v>
      </c>
      <c r="Z310" s="2">
        <v>10</v>
      </c>
      <c r="AA310" s="2">
        <v>3000</v>
      </c>
      <c r="AB310" s="2" t="s">
        <v>49</v>
      </c>
      <c r="AC310" s="2" t="s">
        <v>50</v>
      </c>
      <c r="AD310" s="2">
        <v>1</v>
      </c>
      <c r="AE310" s="2">
        <v>0.10199999999999999</v>
      </c>
      <c r="AF310" s="2">
        <v>0.35799999999999998</v>
      </c>
      <c r="AG310" s="2">
        <v>-365</v>
      </c>
      <c r="AH310" s="2">
        <v>-2</v>
      </c>
      <c r="AI310" s="2">
        <v>0.23</v>
      </c>
      <c r="AJ310" s="2">
        <v>0.379</v>
      </c>
      <c r="AK310" s="2">
        <v>-1080</v>
      </c>
      <c r="AL310" s="2">
        <v>10</v>
      </c>
      <c r="AM310" s="2" t="s">
        <v>44</v>
      </c>
      <c r="AN310" s="2">
        <v>6.6</v>
      </c>
      <c r="AO310" s="2" t="s">
        <v>99</v>
      </c>
      <c r="AP310" s="2">
        <v>1</v>
      </c>
      <c r="AQ310" s="2">
        <v>130</v>
      </c>
    </row>
    <row r="311" spans="1:43" x14ac:dyDescent="0.2">
      <c r="A311" s="2" t="s">
        <v>108</v>
      </c>
      <c r="B311" s="2" t="s">
        <v>109</v>
      </c>
      <c r="C311" s="2">
        <v>142.24</v>
      </c>
      <c r="D311" s="2" t="s">
        <v>44</v>
      </c>
      <c r="E311" s="2"/>
      <c r="F311" s="2"/>
      <c r="G311" s="2" t="s">
        <v>44</v>
      </c>
      <c r="H311" s="2">
        <v>2</v>
      </c>
      <c r="I311" s="2" t="s">
        <v>45</v>
      </c>
      <c r="J311" s="2" t="s">
        <v>46</v>
      </c>
      <c r="K311" s="2">
        <v>265.5</v>
      </c>
      <c r="L311" s="2">
        <v>0.05</v>
      </c>
      <c r="M311" s="2" t="s">
        <v>47</v>
      </c>
      <c r="N311" s="2" t="s">
        <v>44</v>
      </c>
      <c r="O311" s="2" t="s">
        <v>44</v>
      </c>
      <c r="P311" s="2" t="s">
        <v>44</v>
      </c>
      <c r="Q311" s="2" t="s">
        <v>44</v>
      </c>
      <c r="R311" s="2">
        <v>2.0499999999999998</v>
      </c>
      <c r="S311" s="3">
        <f t="shared" si="4"/>
        <v>74.66</v>
      </c>
      <c r="T311" s="2" t="s">
        <v>44</v>
      </c>
      <c r="U311" s="2" t="s">
        <v>44</v>
      </c>
      <c r="V311" s="2" t="s">
        <v>48</v>
      </c>
      <c r="W311" s="2" t="s">
        <v>44</v>
      </c>
      <c r="X311" s="2">
        <v>3</v>
      </c>
      <c r="Y311" s="2">
        <v>65</v>
      </c>
      <c r="Z311" s="2">
        <v>10</v>
      </c>
      <c r="AA311" s="2">
        <v>2000</v>
      </c>
      <c r="AB311" s="2" t="s">
        <v>49</v>
      </c>
      <c r="AC311" s="2" t="s">
        <v>52</v>
      </c>
      <c r="AD311" s="2">
        <v>1</v>
      </c>
      <c r="AE311" s="2">
        <v>0.10199999999999999</v>
      </c>
      <c r="AF311" s="2">
        <v>0.35799999999999998</v>
      </c>
      <c r="AG311" s="2">
        <v>-365</v>
      </c>
      <c r="AH311" s="2">
        <v>-1</v>
      </c>
      <c r="AI311" s="2">
        <v>0.18099999999999999</v>
      </c>
      <c r="AJ311" s="2">
        <v>0.33200000000000002</v>
      </c>
      <c r="AK311" s="2">
        <v>-340</v>
      </c>
      <c r="AL311" s="2">
        <v>10</v>
      </c>
      <c r="AM311" s="2" t="s">
        <v>44</v>
      </c>
      <c r="AN311" s="2">
        <v>6.6</v>
      </c>
      <c r="AO311" s="2" t="s">
        <v>110</v>
      </c>
      <c r="AP311" s="2">
        <v>1</v>
      </c>
      <c r="AQ311" s="2">
        <v>131</v>
      </c>
    </row>
    <row r="312" spans="1:43" x14ac:dyDescent="0.2">
      <c r="A312" s="12" t="s">
        <v>42</v>
      </c>
      <c r="B312" s="12" t="s">
        <v>43</v>
      </c>
      <c r="C312" s="12">
        <v>86.14</v>
      </c>
      <c r="D312" s="12" t="s">
        <v>44</v>
      </c>
      <c r="E312" s="12"/>
      <c r="F312" s="12"/>
      <c r="G312" s="12" t="s">
        <v>44</v>
      </c>
      <c r="H312" s="12">
        <v>1.5</v>
      </c>
      <c r="I312" s="12" t="s">
        <v>45</v>
      </c>
      <c r="J312" s="12" t="s">
        <v>46</v>
      </c>
      <c r="K312" s="12">
        <v>265.5</v>
      </c>
      <c r="L312" s="12">
        <v>0.05</v>
      </c>
      <c r="M312" s="12" t="s">
        <v>47</v>
      </c>
      <c r="N312" s="12" t="s">
        <v>44</v>
      </c>
      <c r="O312" s="12" t="s">
        <v>44</v>
      </c>
      <c r="P312" s="12" t="s">
        <v>44</v>
      </c>
      <c r="Q312" s="12" t="s">
        <v>44</v>
      </c>
      <c r="R312" s="12">
        <v>1.55</v>
      </c>
      <c r="S312" s="13">
        <f t="shared" si="4"/>
        <v>92.47</v>
      </c>
      <c r="T312" s="12" t="s">
        <v>44</v>
      </c>
      <c r="U312" s="12" t="s">
        <v>44</v>
      </c>
      <c r="V312" s="12" t="s">
        <v>48</v>
      </c>
      <c r="W312" s="12" t="s">
        <v>44</v>
      </c>
      <c r="X312" s="12">
        <v>8</v>
      </c>
      <c r="Y312" s="12">
        <v>70</v>
      </c>
      <c r="Z312" s="12">
        <v>6</v>
      </c>
      <c r="AA312" s="12">
        <v>2000</v>
      </c>
      <c r="AB312" s="12" t="s">
        <v>49</v>
      </c>
      <c r="AC312" s="12" t="s">
        <v>50</v>
      </c>
      <c r="AD312" s="12">
        <v>1</v>
      </c>
      <c r="AE312" s="12">
        <v>0.10199999999999999</v>
      </c>
      <c r="AF312" s="12">
        <v>0.35799999999999998</v>
      </c>
      <c r="AG312" s="12">
        <v>-365</v>
      </c>
      <c r="AH312" s="12">
        <v>-2</v>
      </c>
      <c r="AI312" s="12">
        <v>0.23</v>
      </c>
      <c r="AJ312" s="12">
        <v>0.379</v>
      </c>
      <c r="AK312" s="12">
        <v>-1080</v>
      </c>
      <c r="AL312" s="12">
        <v>60</v>
      </c>
      <c r="AM312" s="12" t="s">
        <v>44</v>
      </c>
      <c r="AN312" s="12">
        <v>6.7</v>
      </c>
      <c r="AO312" s="12" t="s">
        <v>100</v>
      </c>
      <c r="AP312" s="12">
        <v>1</v>
      </c>
      <c r="AQ312" s="12">
        <v>120</v>
      </c>
    </row>
    <row r="313" spans="1:43" x14ac:dyDescent="0.2">
      <c r="A313" s="12" t="s">
        <v>42</v>
      </c>
      <c r="B313" s="12" t="s">
        <v>43</v>
      </c>
      <c r="C313" s="12">
        <v>86.14</v>
      </c>
      <c r="D313" s="12" t="s">
        <v>44</v>
      </c>
      <c r="E313" s="12"/>
      <c r="F313" s="12"/>
      <c r="G313" s="12" t="s">
        <v>44</v>
      </c>
      <c r="H313" s="12">
        <v>0.25</v>
      </c>
      <c r="I313" s="12" t="s">
        <v>45</v>
      </c>
      <c r="J313" s="12" t="s">
        <v>46</v>
      </c>
      <c r="K313" s="12">
        <v>265.5</v>
      </c>
      <c r="L313" s="12">
        <v>0.30399999999999999</v>
      </c>
      <c r="M313" s="12" t="s">
        <v>47</v>
      </c>
      <c r="N313" s="12" t="s">
        <v>44</v>
      </c>
      <c r="O313" s="12" t="s">
        <v>44</v>
      </c>
      <c r="P313" s="12" t="s">
        <v>44</v>
      </c>
      <c r="Q313" s="12" t="s">
        <v>44</v>
      </c>
      <c r="R313" s="12">
        <v>0.55400000000000005</v>
      </c>
      <c r="S313" s="13">
        <f t="shared" si="4"/>
        <v>2.5299999999999998</v>
      </c>
      <c r="T313" s="12" t="s">
        <v>44</v>
      </c>
      <c r="U313" s="12" t="s">
        <v>44</v>
      </c>
      <c r="V313" s="12" t="s">
        <v>48</v>
      </c>
      <c r="W313" s="12" t="s">
        <v>44</v>
      </c>
      <c r="X313" s="12">
        <v>30</v>
      </c>
      <c r="Y313" s="12">
        <v>60</v>
      </c>
      <c r="Z313" s="12">
        <v>4</v>
      </c>
      <c r="AA313" s="12">
        <v>1000</v>
      </c>
      <c r="AB313" s="12" t="s">
        <v>69</v>
      </c>
      <c r="AC313" s="12" t="s">
        <v>52</v>
      </c>
      <c r="AD313" s="12">
        <v>2</v>
      </c>
      <c r="AE313" s="12">
        <v>7.1999999999999995E-2</v>
      </c>
      <c r="AF313" s="12">
        <v>0.42799999999999999</v>
      </c>
      <c r="AG313" s="12">
        <v>-1830</v>
      </c>
      <c r="AH313" s="12">
        <v>-1</v>
      </c>
      <c r="AI313" s="12">
        <v>0.18099999999999999</v>
      </c>
      <c r="AJ313" s="12">
        <v>0.33200000000000002</v>
      </c>
      <c r="AK313" s="12">
        <v>-340</v>
      </c>
      <c r="AL313" s="12">
        <v>30</v>
      </c>
      <c r="AM313" s="12" t="s">
        <v>44</v>
      </c>
      <c r="AN313" s="12">
        <v>6.7</v>
      </c>
      <c r="AO313" s="12" t="s">
        <v>88</v>
      </c>
      <c r="AP313" s="12">
        <v>1</v>
      </c>
      <c r="AQ313" s="12">
        <v>122</v>
      </c>
    </row>
    <row r="314" spans="1:43" x14ac:dyDescent="0.2">
      <c r="A314" s="12" t="s">
        <v>77</v>
      </c>
      <c r="B314" s="12" t="s">
        <v>78</v>
      </c>
      <c r="C314" s="12">
        <v>114.19</v>
      </c>
      <c r="D314" s="12" t="s">
        <v>44</v>
      </c>
      <c r="E314" s="12"/>
      <c r="F314" s="12"/>
      <c r="G314" s="12" t="s">
        <v>44</v>
      </c>
      <c r="H314" s="12">
        <v>2</v>
      </c>
      <c r="I314" s="12" t="s">
        <v>45</v>
      </c>
      <c r="J314" s="12" t="s">
        <v>46</v>
      </c>
      <c r="K314" s="12">
        <v>265.5</v>
      </c>
      <c r="L314" s="12">
        <v>0.25</v>
      </c>
      <c r="M314" s="12" t="s">
        <v>47</v>
      </c>
      <c r="N314" s="12" t="s">
        <v>79</v>
      </c>
      <c r="O314" s="12">
        <v>1.4999999999999999E-2</v>
      </c>
      <c r="P314" s="12" t="s">
        <v>44</v>
      </c>
      <c r="Q314" s="12" t="s">
        <v>44</v>
      </c>
      <c r="R314" s="12">
        <v>2.25</v>
      </c>
      <c r="S314" s="13">
        <f t="shared" si="4"/>
        <v>18.600000000000001</v>
      </c>
      <c r="T314" s="12" t="s">
        <v>44</v>
      </c>
      <c r="U314" s="12" t="s">
        <v>44</v>
      </c>
      <c r="V314" s="12" t="s">
        <v>48</v>
      </c>
      <c r="W314" s="12" t="s">
        <v>44</v>
      </c>
      <c r="X314" s="12">
        <v>5</v>
      </c>
      <c r="Y314" s="12">
        <v>80</v>
      </c>
      <c r="Z314" s="12">
        <v>6</v>
      </c>
      <c r="AA314" s="12">
        <v>2000</v>
      </c>
      <c r="AB314" s="12" t="s">
        <v>49</v>
      </c>
      <c r="AC314" s="12" t="s">
        <v>50</v>
      </c>
      <c r="AD314" s="12">
        <v>1</v>
      </c>
      <c r="AE314" s="12">
        <v>0.10199999999999999</v>
      </c>
      <c r="AF314" s="12">
        <v>0.35799999999999998</v>
      </c>
      <c r="AG314" s="12">
        <v>-365</v>
      </c>
      <c r="AH314" s="12">
        <v>-2</v>
      </c>
      <c r="AI314" s="12">
        <v>0.23</v>
      </c>
      <c r="AJ314" s="12">
        <v>0.379</v>
      </c>
      <c r="AK314" s="12">
        <v>-1080</v>
      </c>
      <c r="AL314" s="12">
        <v>15</v>
      </c>
      <c r="AM314" s="12" t="s">
        <v>44</v>
      </c>
      <c r="AN314" s="12">
        <v>6.7</v>
      </c>
      <c r="AO314" s="12" t="s">
        <v>80</v>
      </c>
      <c r="AP314" s="12">
        <v>1</v>
      </c>
      <c r="AQ314" s="12">
        <v>123</v>
      </c>
    </row>
    <row r="315" spans="1:43" x14ac:dyDescent="0.2">
      <c r="A315" s="12" t="s">
        <v>42</v>
      </c>
      <c r="B315" s="12" t="s">
        <v>43</v>
      </c>
      <c r="C315" s="12">
        <v>86.14</v>
      </c>
      <c r="D315" s="12" t="s">
        <v>44</v>
      </c>
      <c r="E315" s="12"/>
      <c r="F315" s="12"/>
      <c r="G315" s="12" t="s">
        <v>44</v>
      </c>
      <c r="H315" s="12">
        <v>1</v>
      </c>
      <c r="I315" s="12" t="s">
        <v>45</v>
      </c>
      <c r="J315" s="12" t="s">
        <v>46</v>
      </c>
      <c r="K315" s="12">
        <v>265.5</v>
      </c>
      <c r="L315" s="12">
        <v>0.2</v>
      </c>
      <c r="M315" s="12" t="s">
        <v>47</v>
      </c>
      <c r="N315" s="12" t="s">
        <v>44</v>
      </c>
      <c r="O315" s="12" t="s">
        <v>44</v>
      </c>
      <c r="P315" s="12" t="s">
        <v>44</v>
      </c>
      <c r="Q315" s="12" t="s">
        <v>44</v>
      </c>
      <c r="R315" s="12">
        <v>1.2</v>
      </c>
      <c r="S315" s="13">
        <f t="shared" si="4"/>
        <v>15.41</v>
      </c>
      <c r="T315" s="12">
        <v>11</v>
      </c>
      <c r="U315" s="12" t="s">
        <v>44</v>
      </c>
      <c r="V315" s="12" t="s">
        <v>48</v>
      </c>
      <c r="W315" s="12" t="s">
        <v>44</v>
      </c>
      <c r="X315" s="12">
        <v>10</v>
      </c>
      <c r="Y315" s="12">
        <v>60</v>
      </c>
      <c r="Z315" s="12">
        <v>6</v>
      </c>
      <c r="AA315" s="12">
        <v>2000</v>
      </c>
      <c r="AB315" s="12" t="s">
        <v>69</v>
      </c>
      <c r="AC315" s="12" t="s">
        <v>50</v>
      </c>
      <c r="AD315" s="12">
        <v>2</v>
      </c>
      <c r="AE315" s="12">
        <v>7.1999999999999995E-2</v>
      </c>
      <c r="AF315" s="12">
        <v>0.42799999999999999</v>
      </c>
      <c r="AG315" s="12">
        <v>-1830</v>
      </c>
      <c r="AH315" s="12">
        <v>-2</v>
      </c>
      <c r="AI315" s="12">
        <v>0.23</v>
      </c>
      <c r="AJ315" s="12">
        <v>0.379</v>
      </c>
      <c r="AK315" s="12">
        <v>-1080</v>
      </c>
      <c r="AL315" s="12">
        <v>120</v>
      </c>
      <c r="AM315" s="12" t="s">
        <v>44</v>
      </c>
      <c r="AN315" s="12">
        <v>6.7</v>
      </c>
      <c r="AO315" s="12" t="s">
        <v>102</v>
      </c>
      <c r="AP315" s="12">
        <v>1</v>
      </c>
      <c r="AQ315" s="12">
        <v>124</v>
      </c>
    </row>
    <row r="316" spans="1:43" x14ac:dyDescent="0.2">
      <c r="A316" s="12" t="s">
        <v>42</v>
      </c>
      <c r="B316" s="12" t="s">
        <v>43</v>
      </c>
      <c r="C316" s="12">
        <v>86.14</v>
      </c>
      <c r="D316" s="12" t="s">
        <v>71</v>
      </c>
      <c r="E316" s="12" t="s">
        <v>72</v>
      </c>
      <c r="F316" s="12">
        <v>101.19</v>
      </c>
      <c r="G316" s="12">
        <v>1</v>
      </c>
      <c r="H316" s="12">
        <v>1.5269999999999999</v>
      </c>
      <c r="I316" s="12" t="s">
        <v>45</v>
      </c>
      <c r="J316" s="12" t="s">
        <v>46</v>
      </c>
      <c r="K316" s="12">
        <v>265.5</v>
      </c>
      <c r="L316" s="12">
        <v>0.1</v>
      </c>
      <c r="M316" s="12" t="s">
        <v>47</v>
      </c>
      <c r="N316" s="12" t="s">
        <v>44</v>
      </c>
      <c r="O316" s="12">
        <v>1</v>
      </c>
      <c r="P316" s="12" t="s">
        <v>44</v>
      </c>
      <c r="Q316" s="12" t="s">
        <v>44</v>
      </c>
      <c r="R316" s="12">
        <v>1.627</v>
      </c>
      <c r="S316" s="13">
        <f t="shared" si="4"/>
        <v>43.57</v>
      </c>
      <c r="T316" s="12" t="s">
        <v>44</v>
      </c>
      <c r="U316" s="12" t="s">
        <v>44</v>
      </c>
      <c r="V316" s="12" t="s">
        <v>48</v>
      </c>
      <c r="W316" s="12" t="s">
        <v>44</v>
      </c>
      <c r="X316" s="12">
        <v>10</v>
      </c>
      <c r="Y316" s="12" t="s">
        <v>44</v>
      </c>
      <c r="Z316" s="12">
        <v>4.8</v>
      </c>
      <c r="AA316" s="12">
        <v>2000</v>
      </c>
      <c r="AB316" s="12" t="s">
        <v>69</v>
      </c>
      <c r="AC316" s="12" t="s">
        <v>50</v>
      </c>
      <c r="AD316" s="12">
        <v>2</v>
      </c>
      <c r="AE316" s="12">
        <v>7.1999999999999995E-2</v>
      </c>
      <c r="AF316" s="12">
        <v>0.42799999999999999</v>
      </c>
      <c r="AG316" s="12">
        <v>-1830</v>
      </c>
      <c r="AH316" s="12">
        <v>-2</v>
      </c>
      <c r="AI316" s="12">
        <v>0.23</v>
      </c>
      <c r="AJ316" s="12">
        <v>0.379</v>
      </c>
      <c r="AK316" s="12">
        <v>-1080</v>
      </c>
      <c r="AL316" s="12">
        <v>60</v>
      </c>
      <c r="AM316" s="12" t="s">
        <v>44</v>
      </c>
      <c r="AN316" s="12">
        <v>6.7</v>
      </c>
      <c r="AO316" s="12" t="s">
        <v>73</v>
      </c>
      <c r="AP316" s="12">
        <v>1</v>
      </c>
      <c r="AQ316" s="12">
        <v>125</v>
      </c>
    </row>
    <row r="317" spans="1:43" x14ac:dyDescent="0.2">
      <c r="A317" s="12" t="s">
        <v>59</v>
      </c>
      <c r="B317" s="12" t="s">
        <v>60</v>
      </c>
      <c r="C317" s="12">
        <v>43.1</v>
      </c>
      <c r="D317" s="12" t="s">
        <v>42</v>
      </c>
      <c r="E317" s="12" t="s">
        <v>43</v>
      </c>
      <c r="F317" s="12">
        <v>86.14</v>
      </c>
      <c r="G317" s="12">
        <v>0.11</v>
      </c>
      <c r="H317" s="12">
        <v>3</v>
      </c>
      <c r="I317" s="12" t="s">
        <v>45</v>
      </c>
      <c r="J317" s="12" t="s">
        <v>46</v>
      </c>
      <c r="K317" s="12">
        <v>265.5</v>
      </c>
      <c r="L317" s="12">
        <v>0.6</v>
      </c>
      <c r="M317" s="12" t="s">
        <v>47</v>
      </c>
      <c r="N317" s="12" t="s">
        <v>44</v>
      </c>
      <c r="O317" s="12" t="s">
        <v>44</v>
      </c>
      <c r="P317" s="12" t="s">
        <v>44</v>
      </c>
      <c r="Q317" s="12" t="s">
        <v>44</v>
      </c>
      <c r="R317" s="12">
        <v>3.6</v>
      </c>
      <c r="S317" s="13">
        <f t="shared" si="4"/>
        <v>16.940000000000001</v>
      </c>
      <c r="T317" s="12">
        <v>9.5</v>
      </c>
      <c r="U317" s="12" t="s">
        <v>44</v>
      </c>
      <c r="V317" s="12" t="s">
        <v>48</v>
      </c>
      <c r="W317" s="12" t="s">
        <v>44</v>
      </c>
      <c r="X317" s="12">
        <v>20</v>
      </c>
      <c r="Y317" s="12">
        <v>75</v>
      </c>
      <c r="Z317" s="12">
        <v>8</v>
      </c>
      <c r="AA317" s="12">
        <v>500</v>
      </c>
      <c r="AB317" s="12" t="s">
        <v>49</v>
      </c>
      <c r="AC317" s="12" t="s">
        <v>52</v>
      </c>
      <c r="AD317" s="12">
        <v>1</v>
      </c>
      <c r="AE317" s="12">
        <v>0.10199999999999999</v>
      </c>
      <c r="AF317" s="12">
        <v>0.35799999999999998</v>
      </c>
      <c r="AG317" s="12">
        <v>-365</v>
      </c>
      <c r="AH317" s="12">
        <v>-1</v>
      </c>
      <c r="AI317" s="12">
        <v>0.18099999999999999</v>
      </c>
      <c r="AJ317" s="12">
        <v>0.33200000000000002</v>
      </c>
      <c r="AK317" s="12">
        <v>-340</v>
      </c>
      <c r="AL317" s="12">
        <v>1800</v>
      </c>
      <c r="AM317" s="12" t="s">
        <v>44</v>
      </c>
      <c r="AN317" s="12">
        <v>6.7</v>
      </c>
      <c r="AO317" s="12" t="s">
        <v>143</v>
      </c>
      <c r="AP317" s="12">
        <v>1</v>
      </c>
      <c r="AQ317" s="12">
        <v>299</v>
      </c>
    </row>
    <row r="318" spans="1:43" x14ac:dyDescent="0.2">
      <c r="A318" t="s">
        <v>67</v>
      </c>
      <c r="B318" t="s">
        <v>68</v>
      </c>
      <c r="C318">
        <v>210.27</v>
      </c>
      <c r="D318" t="s">
        <v>44</v>
      </c>
      <c r="G318" t="s">
        <v>44</v>
      </c>
      <c r="H318">
        <v>4</v>
      </c>
      <c r="I318" t="s">
        <v>45</v>
      </c>
      <c r="J318" t="s">
        <v>46</v>
      </c>
      <c r="K318">
        <v>265.5</v>
      </c>
      <c r="L318">
        <v>0.2</v>
      </c>
      <c r="M318" t="s">
        <v>47</v>
      </c>
      <c r="N318" t="s">
        <v>61</v>
      </c>
      <c r="O318">
        <v>0.1</v>
      </c>
      <c r="P318" t="s">
        <v>44</v>
      </c>
      <c r="Q318" t="s">
        <v>44</v>
      </c>
      <c r="R318">
        <v>4.2</v>
      </c>
      <c r="S318" s="5">
        <f t="shared" si="4"/>
        <v>25.25</v>
      </c>
      <c r="T318" t="s">
        <v>44</v>
      </c>
      <c r="U318" t="s">
        <v>44</v>
      </c>
      <c r="V318" t="s">
        <v>48</v>
      </c>
      <c r="W318" t="s">
        <v>44</v>
      </c>
      <c r="X318">
        <v>15</v>
      </c>
      <c r="Y318">
        <v>80</v>
      </c>
      <c r="Z318">
        <v>4</v>
      </c>
      <c r="AA318">
        <v>2000</v>
      </c>
      <c r="AB318" t="s">
        <v>69</v>
      </c>
      <c r="AC318" t="s">
        <v>50</v>
      </c>
      <c r="AD318">
        <v>2</v>
      </c>
      <c r="AE318">
        <v>7.1999999999999995E-2</v>
      </c>
      <c r="AF318">
        <v>0.42799999999999999</v>
      </c>
      <c r="AG318">
        <v>-1830</v>
      </c>
      <c r="AH318">
        <v>-2</v>
      </c>
      <c r="AI318">
        <v>0.23</v>
      </c>
      <c r="AJ318">
        <v>0.379</v>
      </c>
      <c r="AK318">
        <v>-1080</v>
      </c>
      <c r="AL318">
        <v>240</v>
      </c>
      <c r="AM318" t="s">
        <v>44</v>
      </c>
      <c r="AN318">
        <v>6.8</v>
      </c>
      <c r="AO318" t="s">
        <v>70</v>
      </c>
      <c r="AP318">
        <v>1</v>
      </c>
      <c r="AQ318">
        <v>115</v>
      </c>
    </row>
    <row r="319" spans="1:43" x14ac:dyDescent="0.2">
      <c r="A319" t="s">
        <v>42</v>
      </c>
      <c r="B319" t="s">
        <v>43</v>
      </c>
      <c r="C319">
        <v>86.14</v>
      </c>
      <c r="D319" t="s">
        <v>44</v>
      </c>
      <c r="G319" t="s">
        <v>44</v>
      </c>
      <c r="H319">
        <v>1</v>
      </c>
      <c r="I319" t="s">
        <v>45</v>
      </c>
      <c r="J319" t="s">
        <v>46</v>
      </c>
      <c r="K319">
        <v>265.5</v>
      </c>
      <c r="L319">
        <v>0.1</v>
      </c>
      <c r="M319" t="s">
        <v>47</v>
      </c>
      <c r="N319" t="s">
        <v>44</v>
      </c>
      <c r="O319" t="s">
        <v>44</v>
      </c>
      <c r="P319" t="s">
        <v>44</v>
      </c>
      <c r="Q319" t="s">
        <v>44</v>
      </c>
      <c r="R319">
        <v>1.1000000000000001</v>
      </c>
      <c r="S319" s="5">
        <f t="shared" si="4"/>
        <v>30.82</v>
      </c>
      <c r="T319" t="s">
        <v>44</v>
      </c>
      <c r="U319" t="s">
        <v>44</v>
      </c>
      <c r="V319" t="s">
        <v>48</v>
      </c>
      <c r="W319" t="s">
        <v>44</v>
      </c>
      <c r="X319">
        <v>3</v>
      </c>
      <c r="Y319">
        <v>90</v>
      </c>
      <c r="Z319">
        <v>10.3</v>
      </c>
      <c r="AA319">
        <v>1000</v>
      </c>
      <c r="AB319" t="s">
        <v>49</v>
      </c>
      <c r="AC319" t="s">
        <v>52</v>
      </c>
      <c r="AD319">
        <v>1</v>
      </c>
      <c r="AE319">
        <v>0.10199999999999999</v>
      </c>
      <c r="AF319">
        <v>0.35799999999999998</v>
      </c>
      <c r="AG319">
        <v>-365</v>
      </c>
      <c r="AH319">
        <v>-1</v>
      </c>
      <c r="AI319">
        <v>0.18099999999999999</v>
      </c>
      <c r="AJ319">
        <v>0.33200000000000002</v>
      </c>
      <c r="AK319">
        <v>-340</v>
      </c>
      <c r="AL319">
        <v>45</v>
      </c>
      <c r="AM319" t="s">
        <v>44</v>
      </c>
      <c r="AN319">
        <v>6.8</v>
      </c>
      <c r="AO319" t="s">
        <v>101</v>
      </c>
      <c r="AP319">
        <v>1</v>
      </c>
      <c r="AQ319">
        <v>116</v>
      </c>
    </row>
    <row r="320" spans="1:43" x14ac:dyDescent="0.2">
      <c r="A320" t="s">
        <v>59</v>
      </c>
      <c r="B320" t="s">
        <v>60</v>
      </c>
      <c r="C320">
        <v>43.1</v>
      </c>
      <c r="D320" t="s">
        <v>42</v>
      </c>
      <c r="E320" t="s">
        <v>43</v>
      </c>
      <c r="F320">
        <v>86.14</v>
      </c>
      <c r="G320">
        <v>3.9999999999999991</v>
      </c>
      <c r="H320">
        <v>3</v>
      </c>
      <c r="I320" t="s">
        <v>45</v>
      </c>
      <c r="J320" t="s">
        <v>46</v>
      </c>
      <c r="K320">
        <v>265.5</v>
      </c>
      <c r="L320">
        <v>0.6</v>
      </c>
      <c r="M320" t="s">
        <v>47</v>
      </c>
      <c r="N320" t="s">
        <v>44</v>
      </c>
      <c r="O320" t="s">
        <v>44</v>
      </c>
      <c r="P320" t="s">
        <v>44</v>
      </c>
      <c r="Q320" t="s">
        <v>44</v>
      </c>
      <c r="R320">
        <v>3.6</v>
      </c>
      <c r="S320" s="5">
        <f t="shared" si="4"/>
        <v>27.72</v>
      </c>
      <c r="T320">
        <v>9.5</v>
      </c>
      <c r="U320" t="s">
        <v>44</v>
      </c>
      <c r="V320" t="s">
        <v>48</v>
      </c>
      <c r="W320" t="s">
        <v>44</v>
      </c>
      <c r="X320">
        <v>20</v>
      </c>
      <c r="Y320">
        <v>75</v>
      </c>
      <c r="Z320">
        <v>8</v>
      </c>
      <c r="AA320">
        <v>500</v>
      </c>
      <c r="AB320" t="s">
        <v>49</v>
      </c>
      <c r="AC320" t="s">
        <v>52</v>
      </c>
      <c r="AD320">
        <v>1</v>
      </c>
      <c r="AE320">
        <v>0.10199999999999999</v>
      </c>
      <c r="AF320">
        <v>0.35799999999999998</v>
      </c>
      <c r="AG320">
        <v>-365</v>
      </c>
      <c r="AH320">
        <v>-1</v>
      </c>
      <c r="AI320">
        <v>0.18099999999999999</v>
      </c>
      <c r="AJ320">
        <v>0.33200000000000002</v>
      </c>
      <c r="AK320">
        <v>-340</v>
      </c>
      <c r="AL320">
        <v>1800</v>
      </c>
      <c r="AM320" t="s">
        <v>44</v>
      </c>
      <c r="AN320">
        <v>6.8</v>
      </c>
      <c r="AO320" t="s">
        <v>143</v>
      </c>
      <c r="AP320">
        <v>1</v>
      </c>
      <c r="AQ320">
        <v>290</v>
      </c>
    </row>
    <row r="321" spans="1:43" x14ac:dyDescent="0.2">
      <c r="A321" t="s">
        <v>59</v>
      </c>
      <c r="B321" t="s">
        <v>60</v>
      </c>
      <c r="C321">
        <v>43.1</v>
      </c>
      <c r="D321" t="s">
        <v>42</v>
      </c>
      <c r="E321" t="s">
        <v>43</v>
      </c>
      <c r="F321">
        <v>86.14</v>
      </c>
      <c r="G321">
        <v>2.33</v>
      </c>
      <c r="H321">
        <v>3</v>
      </c>
      <c r="I321" t="s">
        <v>45</v>
      </c>
      <c r="J321" t="s">
        <v>46</v>
      </c>
      <c r="K321">
        <v>265.5</v>
      </c>
      <c r="L321">
        <v>0.6</v>
      </c>
      <c r="M321" t="s">
        <v>47</v>
      </c>
      <c r="N321" t="s">
        <v>44</v>
      </c>
      <c r="O321" t="s">
        <v>44</v>
      </c>
      <c r="P321" t="s">
        <v>44</v>
      </c>
      <c r="Q321" t="s">
        <v>44</v>
      </c>
      <c r="R321">
        <v>3.6</v>
      </c>
      <c r="S321" s="5">
        <f t="shared" ref="S321:S384" si="5">ROUND(IF(G321="-", (H321/C321)/(L321/K321), ((G321*H321/C321) + (H321/F321)) / (1+G321) / (L321/K321)),2)</f>
        <v>26.18</v>
      </c>
      <c r="T321">
        <v>9.5</v>
      </c>
      <c r="U321" t="s">
        <v>44</v>
      </c>
      <c r="V321" t="s">
        <v>48</v>
      </c>
      <c r="W321" t="s">
        <v>44</v>
      </c>
      <c r="X321">
        <v>20</v>
      </c>
      <c r="Y321">
        <v>75</v>
      </c>
      <c r="Z321">
        <v>8</v>
      </c>
      <c r="AA321">
        <v>500</v>
      </c>
      <c r="AB321" t="s">
        <v>49</v>
      </c>
      <c r="AC321" t="s">
        <v>52</v>
      </c>
      <c r="AD321">
        <v>1</v>
      </c>
      <c r="AE321">
        <v>0.10199999999999999</v>
      </c>
      <c r="AF321">
        <v>0.35799999999999998</v>
      </c>
      <c r="AG321">
        <v>-365</v>
      </c>
      <c r="AH321">
        <v>-1</v>
      </c>
      <c r="AI321">
        <v>0.18099999999999999</v>
      </c>
      <c r="AJ321">
        <v>0.33200000000000002</v>
      </c>
      <c r="AK321">
        <v>-340</v>
      </c>
      <c r="AL321">
        <v>1800</v>
      </c>
      <c r="AM321" t="s">
        <v>44</v>
      </c>
      <c r="AN321">
        <v>6.8</v>
      </c>
      <c r="AO321" t="s">
        <v>143</v>
      </c>
      <c r="AP321">
        <v>1</v>
      </c>
      <c r="AQ321">
        <v>298</v>
      </c>
    </row>
    <row r="322" spans="1:43" x14ac:dyDescent="0.2">
      <c r="A322" t="s">
        <v>42</v>
      </c>
      <c r="B322" t="s">
        <v>43</v>
      </c>
      <c r="C322">
        <v>86.14</v>
      </c>
      <c r="D322" t="s">
        <v>44</v>
      </c>
      <c r="G322" t="s">
        <v>44</v>
      </c>
      <c r="H322">
        <v>0.25</v>
      </c>
      <c r="I322" t="s">
        <v>45</v>
      </c>
      <c r="J322" t="s">
        <v>46</v>
      </c>
      <c r="K322">
        <v>265.5</v>
      </c>
      <c r="L322">
        <v>0.2</v>
      </c>
      <c r="M322" t="s">
        <v>47</v>
      </c>
      <c r="N322" t="s">
        <v>44</v>
      </c>
      <c r="O322" t="s">
        <v>44</v>
      </c>
      <c r="P322" t="s">
        <v>44</v>
      </c>
      <c r="Q322" t="s">
        <v>44</v>
      </c>
      <c r="R322">
        <v>0.45</v>
      </c>
      <c r="S322" s="5">
        <f t="shared" si="5"/>
        <v>3.85</v>
      </c>
      <c r="T322" t="s">
        <v>44</v>
      </c>
      <c r="U322" t="s">
        <v>44</v>
      </c>
      <c r="V322" t="s">
        <v>48</v>
      </c>
      <c r="W322" t="s">
        <v>44</v>
      </c>
      <c r="X322">
        <v>8</v>
      </c>
      <c r="Y322">
        <v>70</v>
      </c>
      <c r="Z322">
        <v>6</v>
      </c>
      <c r="AA322">
        <v>2000</v>
      </c>
      <c r="AB322" t="s">
        <v>49</v>
      </c>
      <c r="AC322" t="s">
        <v>50</v>
      </c>
      <c r="AD322">
        <v>1</v>
      </c>
      <c r="AE322">
        <v>0.10199999999999999</v>
      </c>
      <c r="AF322">
        <v>0.35799999999999998</v>
      </c>
      <c r="AG322">
        <v>-365</v>
      </c>
      <c r="AH322">
        <v>-2</v>
      </c>
      <c r="AI322">
        <v>0.23</v>
      </c>
      <c r="AJ322">
        <v>0.379</v>
      </c>
      <c r="AK322">
        <v>-1080</v>
      </c>
      <c r="AL322">
        <v>60</v>
      </c>
      <c r="AM322" t="s">
        <v>44</v>
      </c>
      <c r="AN322">
        <v>6.9</v>
      </c>
      <c r="AO322" t="s">
        <v>100</v>
      </c>
      <c r="AP322">
        <v>1</v>
      </c>
      <c r="AQ322">
        <v>114</v>
      </c>
    </row>
    <row r="323" spans="1:43" x14ac:dyDescent="0.2">
      <c r="A323" t="s">
        <v>54</v>
      </c>
      <c r="B323" t="s">
        <v>55</v>
      </c>
      <c r="C323">
        <v>108.14</v>
      </c>
      <c r="D323" t="s">
        <v>44</v>
      </c>
      <c r="G323" t="s">
        <v>44</v>
      </c>
      <c r="H323">
        <v>2</v>
      </c>
      <c r="I323" t="s">
        <v>56</v>
      </c>
      <c r="J323" t="s">
        <v>57</v>
      </c>
      <c r="K323">
        <v>203.02</v>
      </c>
      <c r="L323">
        <v>0.1</v>
      </c>
      <c r="M323" t="s">
        <v>47</v>
      </c>
      <c r="N323" t="s">
        <v>44</v>
      </c>
      <c r="O323" t="s">
        <v>44</v>
      </c>
      <c r="P323" t="s">
        <v>44</v>
      </c>
      <c r="Q323" t="s">
        <v>44</v>
      </c>
      <c r="R323">
        <v>2.1</v>
      </c>
      <c r="S323" s="5">
        <f t="shared" si="5"/>
        <v>37.549999999999997</v>
      </c>
      <c r="T323" t="s">
        <v>44</v>
      </c>
      <c r="U323" t="s">
        <v>44</v>
      </c>
      <c r="V323" t="s">
        <v>48</v>
      </c>
      <c r="W323" t="s">
        <v>44</v>
      </c>
      <c r="X323">
        <v>5</v>
      </c>
      <c r="Y323">
        <v>80</v>
      </c>
      <c r="Z323">
        <v>10.3</v>
      </c>
      <c r="AA323">
        <v>2000</v>
      </c>
      <c r="AB323" t="s">
        <v>49</v>
      </c>
      <c r="AC323" t="s">
        <v>52</v>
      </c>
      <c r="AD323">
        <v>1</v>
      </c>
      <c r="AE323">
        <v>0.10199999999999999</v>
      </c>
      <c r="AF323">
        <v>0.35799999999999998</v>
      </c>
      <c r="AG323">
        <v>-365</v>
      </c>
      <c r="AH323">
        <v>-1</v>
      </c>
      <c r="AI323">
        <v>0.18099999999999999</v>
      </c>
      <c r="AJ323">
        <v>0.33200000000000002</v>
      </c>
      <c r="AK323">
        <v>-340</v>
      </c>
      <c r="AL323">
        <v>90</v>
      </c>
      <c r="AM323" t="s">
        <v>44</v>
      </c>
      <c r="AN323">
        <v>6.9</v>
      </c>
      <c r="AO323" t="s">
        <v>58</v>
      </c>
      <c r="AP323">
        <v>1</v>
      </c>
      <c r="AQ323">
        <v>119</v>
      </c>
    </row>
    <row r="324" spans="1:43" x14ac:dyDescent="0.2">
      <c r="A324" t="s">
        <v>67</v>
      </c>
      <c r="B324" t="s">
        <v>68</v>
      </c>
      <c r="C324">
        <v>210.27</v>
      </c>
      <c r="D324" t="s">
        <v>44</v>
      </c>
      <c r="G324" t="s">
        <v>44</v>
      </c>
      <c r="H324">
        <v>4</v>
      </c>
      <c r="I324" t="s">
        <v>45</v>
      </c>
      <c r="J324" t="s">
        <v>46</v>
      </c>
      <c r="K324">
        <v>265.5</v>
      </c>
      <c r="L324">
        <v>0.2</v>
      </c>
      <c r="M324" t="s">
        <v>47</v>
      </c>
      <c r="N324" t="s">
        <v>61</v>
      </c>
      <c r="O324">
        <v>0.1</v>
      </c>
      <c r="P324" t="s">
        <v>44</v>
      </c>
      <c r="Q324" t="s">
        <v>44</v>
      </c>
      <c r="R324">
        <v>4.2</v>
      </c>
      <c r="S324" s="5">
        <f t="shared" si="5"/>
        <v>25.25</v>
      </c>
      <c r="T324" t="s">
        <v>44</v>
      </c>
      <c r="U324" t="s">
        <v>44</v>
      </c>
      <c r="V324" t="s">
        <v>48</v>
      </c>
      <c r="W324" t="s">
        <v>44</v>
      </c>
      <c r="X324">
        <v>15</v>
      </c>
      <c r="Y324">
        <v>80</v>
      </c>
      <c r="Z324">
        <v>4</v>
      </c>
      <c r="AA324">
        <v>2000</v>
      </c>
      <c r="AB324" t="s">
        <v>69</v>
      </c>
      <c r="AC324" t="s">
        <v>50</v>
      </c>
      <c r="AD324">
        <v>2</v>
      </c>
      <c r="AE324">
        <v>7.1999999999999995E-2</v>
      </c>
      <c r="AF324">
        <v>0.42799999999999999</v>
      </c>
      <c r="AG324">
        <v>-1830</v>
      </c>
      <c r="AH324">
        <v>-2</v>
      </c>
      <c r="AI324">
        <v>0.23</v>
      </c>
      <c r="AJ324">
        <v>0.379</v>
      </c>
      <c r="AK324">
        <v>-1080</v>
      </c>
      <c r="AL324">
        <v>300</v>
      </c>
      <c r="AM324" t="s">
        <v>44</v>
      </c>
      <c r="AN324">
        <v>7</v>
      </c>
      <c r="AO324" t="s">
        <v>70</v>
      </c>
      <c r="AP324">
        <v>1</v>
      </c>
      <c r="AQ324">
        <v>111</v>
      </c>
    </row>
    <row r="325" spans="1:43" x14ac:dyDescent="0.2">
      <c r="A325" t="s">
        <v>42</v>
      </c>
      <c r="B325" t="s">
        <v>43</v>
      </c>
      <c r="C325">
        <v>86.14</v>
      </c>
      <c r="D325" t="s">
        <v>44</v>
      </c>
      <c r="G325" t="s">
        <v>44</v>
      </c>
      <c r="H325">
        <v>0.5</v>
      </c>
      <c r="I325" t="s">
        <v>45</v>
      </c>
      <c r="J325" t="s">
        <v>46</v>
      </c>
      <c r="K325">
        <v>265.5</v>
      </c>
      <c r="L325">
        <v>0.1</v>
      </c>
      <c r="M325" t="s">
        <v>111</v>
      </c>
      <c r="N325" t="s">
        <v>44</v>
      </c>
      <c r="O325" t="s">
        <v>44</v>
      </c>
      <c r="P325" t="s">
        <v>44</v>
      </c>
      <c r="Q325" t="s">
        <v>44</v>
      </c>
      <c r="R325">
        <v>0.6</v>
      </c>
      <c r="S325" s="5">
        <f t="shared" si="5"/>
        <v>15.41</v>
      </c>
      <c r="T325">
        <v>10</v>
      </c>
      <c r="U325" t="s">
        <v>44</v>
      </c>
      <c r="V325" t="s">
        <v>48</v>
      </c>
      <c r="W325" t="s">
        <v>44</v>
      </c>
      <c r="X325" t="s">
        <v>44</v>
      </c>
      <c r="Y325">
        <v>80</v>
      </c>
      <c r="Z325">
        <v>5</v>
      </c>
      <c r="AA325">
        <v>500</v>
      </c>
      <c r="AB325" t="s">
        <v>49</v>
      </c>
      <c r="AC325" t="s">
        <v>50</v>
      </c>
      <c r="AD325">
        <v>1</v>
      </c>
      <c r="AE325">
        <v>0.10199999999999999</v>
      </c>
      <c r="AF325">
        <v>0.35799999999999998</v>
      </c>
      <c r="AG325">
        <v>-365</v>
      </c>
      <c r="AH325">
        <v>-2</v>
      </c>
      <c r="AI325">
        <v>0.23</v>
      </c>
      <c r="AJ325">
        <v>0.379</v>
      </c>
      <c r="AK325">
        <v>-1080</v>
      </c>
      <c r="AL325">
        <v>60</v>
      </c>
      <c r="AM325" t="s">
        <v>44</v>
      </c>
      <c r="AN325">
        <v>7</v>
      </c>
      <c r="AO325" t="s">
        <v>112</v>
      </c>
      <c r="AP325">
        <v>1</v>
      </c>
      <c r="AQ325">
        <v>112</v>
      </c>
    </row>
    <row r="326" spans="1:43" x14ac:dyDescent="0.2">
      <c r="A326" t="s">
        <v>59</v>
      </c>
      <c r="B326" t="s">
        <v>60</v>
      </c>
      <c r="C326">
        <v>43.1</v>
      </c>
      <c r="D326" t="s">
        <v>44</v>
      </c>
      <c r="G326" t="s">
        <v>44</v>
      </c>
      <c r="H326">
        <v>3</v>
      </c>
      <c r="I326" t="s">
        <v>45</v>
      </c>
      <c r="J326" t="s">
        <v>46</v>
      </c>
      <c r="K326">
        <v>265.5</v>
      </c>
      <c r="L326">
        <v>0.6</v>
      </c>
      <c r="M326" t="s">
        <v>47</v>
      </c>
      <c r="N326" t="s">
        <v>44</v>
      </c>
      <c r="O326" t="s">
        <v>44</v>
      </c>
      <c r="P326" t="s">
        <v>44</v>
      </c>
      <c r="Q326" t="s">
        <v>44</v>
      </c>
      <c r="R326">
        <v>3.6</v>
      </c>
      <c r="S326" s="5">
        <f t="shared" si="5"/>
        <v>30.8</v>
      </c>
      <c r="T326">
        <v>9.5</v>
      </c>
      <c r="U326" t="s">
        <v>44</v>
      </c>
      <c r="V326" t="s">
        <v>48</v>
      </c>
      <c r="W326" t="s">
        <v>44</v>
      </c>
      <c r="X326">
        <v>20</v>
      </c>
      <c r="Y326">
        <v>75</v>
      </c>
      <c r="Z326">
        <v>8</v>
      </c>
      <c r="AA326">
        <v>500</v>
      </c>
      <c r="AB326" t="s">
        <v>49</v>
      </c>
      <c r="AC326" t="s">
        <v>52</v>
      </c>
      <c r="AD326">
        <v>1</v>
      </c>
      <c r="AE326">
        <v>0.10199999999999999</v>
      </c>
      <c r="AF326">
        <v>0.35799999999999998</v>
      </c>
      <c r="AG326">
        <v>-365</v>
      </c>
      <c r="AH326">
        <v>-1</v>
      </c>
      <c r="AI326">
        <v>0.18099999999999999</v>
      </c>
      <c r="AJ326">
        <v>0.33200000000000002</v>
      </c>
      <c r="AK326">
        <v>-340</v>
      </c>
      <c r="AL326">
        <v>1800</v>
      </c>
      <c r="AM326" t="s">
        <v>44</v>
      </c>
      <c r="AN326">
        <v>7</v>
      </c>
      <c r="AO326" t="s">
        <v>143</v>
      </c>
      <c r="AP326">
        <v>1</v>
      </c>
      <c r="AQ326">
        <v>289</v>
      </c>
    </row>
    <row r="327" spans="1:43" x14ac:dyDescent="0.2">
      <c r="A327" t="s">
        <v>42</v>
      </c>
      <c r="B327" t="s">
        <v>43</v>
      </c>
      <c r="C327">
        <v>86.14</v>
      </c>
      <c r="D327" t="s">
        <v>44</v>
      </c>
      <c r="G327" t="s">
        <v>44</v>
      </c>
      <c r="H327">
        <v>0.76100000000000001</v>
      </c>
      <c r="I327" t="s">
        <v>45</v>
      </c>
      <c r="J327" t="s">
        <v>46</v>
      </c>
      <c r="K327">
        <v>265.5</v>
      </c>
      <c r="L327">
        <v>0.25</v>
      </c>
      <c r="M327" t="s">
        <v>47</v>
      </c>
      <c r="N327" t="s">
        <v>44</v>
      </c>
      <c r="O327" t="s">
        <v>44</v>
      </c>
      <c r="P327" t="s">
        <v>44</v>
      </c>
      <c r="Q327" t="s">
        <v>44</v>
      </c>
      <c r="R327">
        <v>1.0109999999999999</v>
      </c>
      <c r="S327" s="5">
        <f t="shared" si="5"/>
        <v>9.3800000000000008</v>
      </c>
      <c r="T327" t="s">
        <v>44</v>
      </c>
      <c r="U327" t="s">
        <v>152</v>
      </c>
      <c r="V327" t="s">
        <v>153</v>
      </c>
      <c r="W327">
        <v>5.0000000000000001E-3</v>
      </c>
      <c r="X327">
        <v>30</v>
      </c>
      <c r="Y327">
        <v>60</v>
      </c>
      <c r="Z327">
        <v>4</v>
      </c>
      <c r="AA327">
        <v>1000</v>
      </c>
      <c r="AB327" t="s">
        <v>150</v>
      </c>
      <c r="AC327" t="s">
        <v>52</v>
      </c>
      <c r="AD327">
        <v>1</v>
      </c>
      <c r="AE327">
        <v>6.9000000000000006E-2</v>
      </c>
      <c r="AF327">
        <v>0.38200000000000001</v>
      </c>
      <c r="AG327">
        <v>-475</v>
      </c>
      <c r="AH327">
        <v>-1</v>
      </c>
      <c r="AI327">
        <v>0.18099999999999999</v>
      </c>
      <c r="AJ327">
        <v>0.33200000000000002</v>
      </c>
      <c r="AK327">
        <v>-340</v>
      </c>
      <c r="AL327">
        <v>30</v>
      </c>
      <c r="AM327" t="s">
        <v>44</v>
      </c>
      <c r="AN327">
        <v>7.1</v>
      </c>
      <c r="AO327" t="s">
        <v>151</v>
      </c>
      <c r="AP327">
        <v>1</v>
      </c>
      <c r="AQ327">
        <v>396</v>
      </c>
    </row>
    <row r="328" spans="1:43" x14ac:dyDescent="0.2">
      <c r="A328" t="s">
        <v>42</v>
      </c>
      <c r="B328" t="s">
        <v>43</v>
      </c>
      <c r="C328">
        <v>86.14</v>
      </c>
      <c r="D328" t="s">
        <v>44</v>
      </c>
      <c r="G328" t="s">
        <v>44</v>
      </c>
      <c r="H328">
        <v>0.76100000000000001</v>
      </c>
      <c r="I328" t="s">
        <v>45</v>
      </c>
      <c r="J328" t="s">
        <v>46</v>
      </c>
      <c r="K328">
        <v>265.5</v>
      </c>
      <c r="L328">
        <v>0.25</v>
      </c>
      <c r="M328" t="s">
        <v>47</v>
      </c>
      <c r="N328" t="s">
        <v>44</v>
      </c>
      <c r="O328" t="s">
        <v>44</v>
      </c>
      <c r="P328" t="s">
        <v>44</v>
      </c>
      <c r="Q328" t="s">
        <v>44</v>
      </c>
      <c r="R328">
        <v>1.0109999999999999</v>
      </c>
      <c r="S328" s="5">
        <f t="shared" si="5"/>
        <v>9.3800000000000008</v>
      </c>
      <c r="T328" t="s">
        <v>44</v>
      </c>
      <c r="U328" t="s">
        <v>152</v>
      </c>
      <c r="V328" t="s">
        <v>153</v>
      </c>
      <c r="W328">
        <v>1.2500000000000001E-2</v>
      </c>
      <c r="X328">
        <v>30</v>
      </c>
      <c r="Y328">
        <v>60</v>
      </c>
      <c r="Z328">
        <v>4</v>
      </c>
      <c r="AA328">
        <v>1000</v>
      </c>
      <c r="AB328" t="s">
        <v>150</v>
      </c>
      <c r="AC328" t="s">
        <v>52</v>
      </c>
      <c r="AD328">
        <v>1</v>
      </c>
      <c r="AE328">
        <v>6.9000000000000006E-2</v>
      </c>
      <c r="AF328">
        <v>0.38200000000000001</v>
      </c>
      <c r="AG328">
        <v>-475</v>
      </c>
      <c r="AH328">
        <v>-1</v>
      </c>
      <c r="AI328">
        <v>0.18099999999999999</v>
      </c>
      <c r="AJ328">
        <v>0.33200000000000002</v>
      </c>
      <c r="AK328">
        <v>-340</v>
      </c>
      <c r="AL328">
        <v>30</v>
      </c>
      <c r="AM328" t="s">
        <v>44</v>
      </c>
      <c r="AN328">
        <v>7.1</v>
      </c>
      <c r="AO328" t="s">
        <v>151</v>
      </c>
      <c r="AP328">
        <v>1</v>
      </c>
      <c r="AQ328">
        <v>397</v>
      </c>
    </row>
    <row r="329" spans="1:43" x14ac:dyDescent="0.2">
      <c r="A329" t="s">
        <v>42</v>
      </c>
      <c r="B329" t="s">
        <v>43</v>
      </c>
      <c r="C329">
        <v>86.14</v>
      </c>
      <c r="D329" t="s">
        <v>44</v>
      </c>
      <c r="G329" t="s">
        <v>44</v>
      </c>
      <c r="H329">
        <v>1</v>
      </c>
      <c r="I329" t="s">
        <v>45</v>
      </c>
      <c r="J329" t="s">
        <v>46</v>
      </c>
      <c r="K329">
        <v>265.5</v>
      </c>
      <c r="L329">
        <v>0.153</v>
      </c>
      <c r="M329" t="s">
        <v>98</v>
      </c>
      <c r="N329" t="s">
        <v>44</v>
      </c>
      <c r="O329" t="s">
        <v>44</v>
      </c>
      <c r="P329" t="s">
        <v>44</v>
      </c>
      <c r="Q329" t="s">
        <v>44</v>
      </c>
      <c r="R329">
        <v>1.153</v>
      </c>
      <c r="S329" s="5">
        <f t="shared" si="5"/>
        <v>20.149999999999999</v>
      </c>
      <c r="T329" t="s">
        <v>44</v>
      </c>
      <c r="U329" t="s">
        <v>44</v>
      </c>
      <c r="V329" t="s">
        <v>48</v>
      </c>
      <c r="W329" t="s">
        <v>44</v>
      </c>
      <c r="X329" t="s">
        <v>44</v>
      </c>
      <c r="Y329" t="s">
        <v>44</v>
      </c>
      <c r="Z329">
        <v>10</v>
      </c>
      <c r="AA329">
        <v>1000</v>
      </c>
      <c r="AB329" t="s">
        <v>49</v>
      </c>
      <c r="AC329" t="s">
        <v>52</v>
      </c>
      <c r="AD329">
        <v>1</v>
      </c>
      <c r="AE329">
        <v>0.10199999999999999</v>
      </c>
      <c r="AF329">
        <v>0.35799999999999998</v>
      </c>
      <c r="AG329">
        <v>-365</v>
      </c>
      <c r="AH329">
        <v>-1</v>
      </c>
      <c r="AI329">
        <v>0.18099999999999999</v>
      </c>
      <c r="AJ329">
        <v>0.33200000000000002</v>
      </c>
      <c r="AK329">
        <v>-340</v>
      </c>
      <c r="AL329">
        <v>30</v>
      </c>
      <c r="AM329" t="s">
        <v>44</v>
      </c>
      <c r="AN329">
        <v>7.3</v>
      </c>
      <c r="AO329" t="s">
        <v>105</v>
      </c>
      <c r="AP329">
        <v>1</v>
      </c>
      <c r="AQ329">
        <v>107</v>
      </c>
    </row>
    <row r="330" spans="1:43" x14ac:dyDescent="0.2">
      <c r="A330" t="s">
        <v>42</v>
      </c>
      <c r="B330" t="s">
        <v>43</v>
      </c>
      <c r="C330">
        <v>86.14</v>
      </c>
      <c r="D330" t="s">
        <v>44</v>
      </c>
      <c r="G330" t="s">
        <v>44</v>
      </c>
      <c r="H330">
        <v>1</v>
      </c>
      <c r="I330" t="s">
        <v>45</v>
      </c>
      <c r="J330" t="s">
        <v>46</v>
      </c>
      <c r="K330">
        <v>265.5</v>
      </c>
      <c r="L330">
        <v>0.22800000000000001</v>
      </c>
      <c r="M330" t="s">
        <v>47</v>
      </c>
      <c r="N330" t="s">
        <v>81</v>
      </c>
      <c r="O330">
        <v>0.01</v>
      </c>
      <c r="P330" t="s">
        <v>44</v>
      </c>
      <c r="Q330" t="s">
        <v>44</v>
      </c>
      <c r="R330">
        <v>1.228</v>
      </c>
      <c r="S330" s="5">
        <f t="shared" si="5"/>
        <v>13.52</v>
      </c>
      <c r="T330" t="s">
        <v>44</v>
      </c>
      <c r="U330" t="s">
        <v>44</v>
      </c>
      <c r="V330" t="s">
        <v>48</v>
      </c>
      <c r="W330" t="s">
        <v>44</v>
      </c>
      <c r="X330">
        <v>5</v>
      </c>
      <c r="Y330">
        <v>80</v>
      </c>
      <c r="Z330">
        <v>6</v>
      </c>
      <c r="AA330">
        <v>2000</v>
      </c>
      <c r="AB330" t="s">
        <v>49</v>
      </c>
      <c r="AC330" t="s">
        <v>50</v>
      </c>
      <c r="AD330">
        <v>1</v>
      </c>
      <c r="AE330">
        <v>0.10199999999999999</v>
      </c>
      <c r="AF330">
        <v>0.35799999999999998</v>
      </c>
      <c r="AG330">
        <v>-365</v>
      </c>
      <c r="AH330">
        <v>-2</v>
      </c>
      <c r="AI330">
        <v>0.23</v>
      </c>
      <c r="AJ330">
        <v>0.379</v>
      </c>
      <c r="AK330">
        <v>-1080</v>
      </c>
      <c r="AL330">
        <v>15</v>
      </c>
      <c r="AM330" t="s">
        <v>44</v>
      </c>
      <c r="AN330">
        <v>7.3</v>
      </c>
      <c r="AO330" t="s">
        <v>82</v>
      </c>
      <c r="AP330">
        <v>1</v>
      </c>
      <c r="AQ330">
        <v>108</v>
      </c>
    </row>
    <row r="331" spans="1:43" x14ac:dyDescent="0.2">
      <c r="A331" t="s">
        <v>108</v>
      </c>
      <c r="B331" t="s">
        <v>109</v>
      </c>
      <c r="C331">
        <v>142.24</v>
      </c>
      <c r="D331" t="s">
        <v>44</v>
      </c>
      <c r="G331" t="s">
        <v>44</v>
      </c>
      <c r="H331">
        <v>0.5</v>
      </c>
      <c r="I331" t="s">
        <v>45</v>
      </c>
      <c r="J331" t="s">
        <v>46</v>
      </c>
      <c r="K331">
        <v>265.5</v>
      </c>
      <c r="L331">
        <v>0.2</v>
      </c>
      <c r="M331" t="s">
        <v>47</v>
      </c>
      <c r="N331" t="s">
        <v>44</v>
      </c>
      <c r="O331" t="s">
        <v>44</v>
      </c>
      <c r="P331" t="s">
        <v>44</v>
      </c>
      <c r="Q331" t="s">
        <v>44</v>
      </c>
      <c r="R331">
        <v>0.7</v>
      </c>
      <c r="S331" s="5">
        <f t="shared" si="5"/>
        <v>4.67</v>
      </c>
      <c r="T331" t="s">
        <v>44</v>
      </c>
      <c r="U331" t="s">
        <v>44</v>
      </c>
      <c r="V331" t="s">
        <v>48</v>
      </c>
      <c r="W331" t="s">
        <v>44</v>
      </c>
      <c r="X331">
        <v>3</v>
      </c>
      <c r="Y331">
        <v>65</v>
      </c>
      <c r="Z331">
        <v>10</v>
      </c>
      <c r="AA331">
        <v>2000</v>
      </c>
      <c r="AB331" t="s">
        <v>49</v>
      </c>
      <c r="AC331" t="s">
        <v>52</v>
      </c>
      <c r="AD331">
        <v>1</v>
      </c>
      <c r="AE331">
        <v>0.10199999999999999</v>
      </c>
      <c r="AF331">
        <v>0.35799999999999998</v>
      </c>
      <c r="AG331">
        <v>-365</v>
      </c>
      <c r="AH331">
        <v>-1</v>
      </c>
      <c r="AI331">
        <v>0.18099999999999999</v>
      </c>
      <c r="AJ331">
        <v>0.33200000000000002</v>
      </c>
      <c r="AK331">
        <v>-340</v>
      </c>
      <c r="AL331">
        <v>90</v>
      </c>
      <c r="AM331" t="s">
        <v>44</v>
      </c>
      <c r="AN331">
        <v>7.3</v>
      </c>
      <c r="AO331" t="s">
        <v>110</v>
      </c>
      <c r="AP331">
        <v>1</v>
      </c>
      <c r="AQ331">
        <v>109</v>
      </c>
    </row>
    <row r="332" spans="1:43" x14ac:dyDescent="0.2">
      <c r="A332" t="s">
        <v>42</v>
      </c>
      <c r="B332" t="s">
        <v>43</v>
      </c>
      <c r="C332">
        <v>86.14</v>
      </c>
      <c r="D332" t="s">
        <v>71</v>
      </c>
      <c r="E332" t="s">
        <v>72</v>
      </c>
      <c r="F332">
        <v>101.19</v>
      </c>
      <c r="G332">
        <v>1</v>
      </c>
      <c r="H332">
        <v>0.76300000000000001</v>
      </c>
      <c r="I332" t="s">
        <v>45</v>
      </c>
      <c r="J332" t="s">
        <v>46</v>
      </c>
      <c r="K332">
        <v>265.5</v>
      </c>
      <c r="L332">
        <v>0.1</v>
      </c>
      <c r="M332" t="s">
        <v>47</v>
      </c>
      <c r="N332" t="s">
        <v>44</v>
      </c>
      <c r="O332">
        <v>1</v>
      </c>
      <c r="P332" t="s">
        <v>44</v>
      </c>
      <c r="Q332" t="s">
        <v>44</v>
      </c>
      <c r="R332">
        <v>0.86299999999999999</v>
      </c>
      <c r="S332" s="5">
        <f t="shared" si="5"/>
        <v>21.77</v>
      </c>
      <c r="T332" t="s">
        <v>44</v>
      </c>
      <c r="U332" t="s">
        <v>44</v>
      </c>
      <c r="V332" t="s">
        <v>48</v>
      </c>
      <c r="W332" t="s">
        <v>44</v>
      </c>
      <c r="X332">
        <v>10</v>
      </c>
      <c r="Y332" t="s">
        <v>44</v>
      </c>
      <c r="Z332">
        <v>4.8</v>
      </c>
      <c r="AA332">
        <v>2000</v>
      </c>
      <c r="AB332" t="s">
        <v>69</v>
      </c>
      <c r="AC332" t="s">
        <v>50</v>
      </c>
      <c r="AD332">
        <v>2</v>
      </c>
      <c r="AE332">
        <v>7.1999999999999995E-2</v>
      </c>
      <c r="AF332">
        <v>0.42799999999999999</v>
      </c>
      <c r="AG332">
        <v>-1830</v>
      </c>
      <c r="AH332">
        <v>-2</v>
      </c>
      <c r="AI332">
        <v>0.23</v>
      </c>
      <c r="AJ332">
        <v>0.379</v>
      </c>
      <c r="AK332">
        <v>-1080</v>
      </c>
      <c r="AL332">
        <v>60</v>
      </c>
      <c r="AM332" t="s">
        <v>44</v>
      </c>
      <c r="AN332">
        <v>7.3</v>
      </c>
      <c r="AO332" t="s">
        <v>73</v>
      </c>
      <c r="AP332">
        <v>1</v>
      </c>
      <c r="AQ332">
        <v>110</v>
      </c>
    </row>
    <row r="333" spans="1:43" x14ac:dyDescent="0.2">
      <c r="A333" t="s">
        <v>67</v>
      </c>
      <c r="B333" t="s">
        <v>68</v>
      </c>
      <c r="C333">
        <v>210.27</v>
      </c>
      <c r="D333" t="s">
        <v>44</v>
      </c>
      <c r="G333" t="s">
        <v>44</v>
      </c>
      <c r="H333">
        <v>6</v>
      </c>
      <c r="I333" t="s">
        <v>45</v>
      </c>
      <c r="J333" t="s">
        <v>46</v>
      </c>
      <c r="K333">
        <v>265.5</v>
      </c>
      <c r="L333">
        <v>0.2</v>
      </c>
      <c r="M333" t="s">
        <v>47</v>
      </c>
      <c r="N333" t="s">
        <v>61</v>
      </c>
      <c r="O333">
        <v>0.1</v>
      </c>
      <c r="P333" t="s">
        <v>44</v>
      </c>
      <c r="Q333" t="s">
        <v>44</v>
      </c>
      <c r="R333">
        <v>6.2</v>
      </c>
      <c r="S333" s="5">
        <f t="shared" si="5"/>
        <v>37.880000000000003</v>
      </c>
      <c r="T333" t="s">
        <v>44</v>
      </c>
      <c r="U333" t="s">
        <v>44</v>
      </c>
      <c r="V333" t="s">
        <v>48</v>
      </c>
      <c r="W333" t="s">
        <v>44</v>
      </c>
      <c r="X333">
        <v>15</v>
      </c>
      <c r="Y333">
        <v>80</v>
      </c>
      <c r="Z333" t="s">
        <v>44</v>
      </c>
      <c r="AA333">
        <v>2000</v>
      </c>
      <c r="AB333" t="s">
        <v>69</v>
      </c>
      <c r="AC333" t="s">
        <v>50</v>
      </c>
      <c r="AD333">
        <v>2</v>
      </c>
      <c r="AE333">
        <v>7.1999999999999995E-2</v>
      </c>
      <c r="AF333">
        <v>0.42799999999999999</v>
      </c>
      <c r="AG333">
        <v>-1830</v>
      </c>
      <c r="AH333">
        <v>-2</v>
      </c>
      <c r="AI333">
        <v>0.23</v>
      </c>
      <c r="AJ333">
        <v>0.379</v>
      </c>
      <c r="AK333">
        <v>-1080</v>
      </c>
      <c r="AL333">
        <v>180</v>
      </c>
      <c r="AM333" t="s">
        <v>44</v>
      </c>
      <c r="AN333">
        <v>7.4</v>
      </c>
      <c r="AO333" t="s">
        <v>70</v>
      </c>
      <c r="AP333">
        <v>1</v>
      </c>
      <c r="AQ333">
        <v>103</v>
      </c>
    </row>
    <row r="334" spans="1:43" x14ac:dyDescent="0.2">
      <c r="A334" t="s">
        <v>108</v>
      </c>
      <c r="B334" t="s">
        <v>109</v>
      </c>
      <c r="C334">
        <v>142.24</v>
      </c>
      <c r="D334" t="s">
        <v>44</v>
      </c>
      <c r="G334" t="s">
        <v>44</v>
      </c>
      <c r="H334">
        <v>2</v>
      </c>
      <c r="I334" t="s">
        <v>45</v>
      </c>
      <c r="J334" t="s">
        <v>46</v>
      </c>
      <c r="K334">
        <v>265.5</v>
      </c>
      <c r="L334">
        <v>0.2</v>
      </c>
      <c r="M334" t="s">
        <v>47</v>
      </c>
      <c r="N334" t="s">
        <v>44</v>
      </c>
      <c r="O334" t="s">
        <v>44</v>
      </c>
      <c r="P334" t="s">
        <v>44</v>
      </c>
      <c r="Q334" t="s">
        <v>44</v>
      </c>
      <c r="R334">
        <v>2.2000000000000002</v>
      </c>
      <c r="S334" s="5">
        <f t="shared" si="5"/>
        <v>18.670000000000002</v>
      </c>
      <c r="T334" t="s">
        <v>44</v>
      </c>
      <c r="U334" t="s">
        <v>44</v>
      </c>
      <c r="V334" t="s">
        <v>48</v>
      </c>
      <c r="W334" t="s">
        <v>44</v>
      </c>
      <c r="X334">
        <v>3</v>
      </c>
      <c r="Y334">
        <v>65</v>
      </c>
      <c r="Z334">
        <v>10</v>
      </c>
      <c r="AA334">
        <v>2000</v>
      </c>
      <c r="AB334" t="s">
        <v>49</v>
      </c>
      <c r="AC334" t="s">
        <v>52</v>
      </c>
      <c r="AD334">
        <v>1</v>
      </c>
      <c r="AE334">
        <v>0.10199999999999999</v>
      </c>
      <c r="AF334">
        <v>0.35799999999999998</v>
      </c>
      <c r="AG334">
        <v>-365</v>
      </c>
      <c r="AH334">
        <v>-1</v>
      </c>
      <c r="AI334">
        <v>0.18099999999999999</v>
      </c>
      <c r="AJ334">
        <v>0.33200000000000002</v>
      </c>
      <c r="AK334">
        <v>-340</v>
      </c>
      <c r="AL334">
        <v>10</v>
      </c>
      <c r="AM334" t="s">
        <v>44</v>
      </c>
      <c r="AN334">
        <v>7.4</v>
      </c>
      <c r="AO334" t="s">
        <v>110</v>
      </c>
      <c r="AP334">
        <v>1</v>
      </c>
      <c r="AQ334">
        <v>104</v>
      </c>
    </row>
    <row r="335" spans="1:43" x14ac:dyDescent="0.2">
      <c r="A335" t="s">
        <v>77</v>
      </c>
      <c r="B335" t="s">
        <v>78</v>
      </c>
      <c r="C335">
        <v>114.19</v>
      </c>
      <c r="D335" t="s">
        <v>44</v>
      </c>
      <c r="G335" t="s">
        <v>44</v>
      </c>
      <c r="H335">
        <v>2</v>
      </c>
      <c r="I335" t="s">
        <v>45</v>
      </c>
      <c r="J335" t="s">
        <v>46</v>
      </c>
      <c r="K335">
        <v>265.5</v>
      </c>
      <c r="L335">
        <v>0.25</v>
      </c>
      <c r="M335" t="s">
        <v>47</v>
      </c>
      <c r="N335" t="s">
        <v>44</v>
      </c>
      <c r="O335" t="s">
        <v>44</v>
      </c>
      <c r="P335" t="s">
        <v>44</v>
      </c>
      <c r="Q335" t="s">
        <v>44</v>
      </c>
      <c r="R335">
        <v>2.25</v>
      </c>
      <c r="S335" s="5">
        <f t="shared" si="5"/>
        <v>18.600000000000001</v>
      </c>
      <c r="T335" t="s">
        <v>44</v>
      </c>
      <c r="U335" t="s">
        <v>44</v>
      </c>
      <c r="V335" t="s">
        <v>48</v>
      </c>
      <c r="W335" t="s">
        <v>44</v>
      </c>
      <c r="X335">
        <v>5</v>
      </c>
      <c r="Y335">
        <v>60</v>
      </c>
      <c r="Z335">
        <v>6</v>
      </c>
      <c r="AA335">
        <v>2000</v>
      </c>
      <c r="AB335" t="s">
        <v>49</v>
      </c>
      <c r="AC335" t="s">
        <v>50</v>
      </c>
      <c r="AD335">
        <v>1</v>
      </c>
      <c r="AE335">
        <v>0.10199999999999999</v>
      </c>
      <c r="AF335">
        <v>0.35799999999999998</v>
      </c>
      <c r="AG335">
        <v>-365</v>
      </c>
      <c r="AH335">
        <v>-2</v>
      </c>
      <c r="AI335">
        <v>0.23</v>
      </c>
      <c r="AJ335">
        <v>0.379</v>
      </c>
      <c r="AK335">
        <v>-1080</v>
      </c>
      <c r="AL335">
        <v>15</v>
      </c>
      <c r="AM335" t="s">
        <v>44</v>
      </c>
      <c r="AN335">
        <v>7.4</v>
      </c>
      <c r="AO335" t="s">
        <v>80</v>
      </c>
      <c r="AP335">
        <v>1</v>
      </c>
      <c r="AQ335">
        <v>105</v>
      </c>
    </row>
    <row r="336" spans="1:43" x14ac:dyDescent="0.2">
      <c r="A336" t="s">
        <v>77</v>
      </c>
      <c r="B336" t="s">
        <v>78</v>
      </c>
      <c r="C336">
        <v>114.19</v>
      </c>
      <c r="D336" t="s">
        <v>44</v>
      </c>
      <c r="G336" t="s">
        <v>44</v>
      </c>
      <c r="H336">
        <v>2</v>
      </c>
      <c r="I336" t="s">
        <v>45</v>
      </c>
      <c r="J336" t="s">
        <v>46</v>
      </c>
      <c r="K336">
        <v>265.5</v>
      </c>
      <c r="L336">
        <v>0.25</v>
      </c>
      <c r="M336" t="s">
        <v>47</v>
      </c>
      <c r="N336" t="s">
        <v>79</v>
      </c>
      <c r="O336">
        <v>0.06</v>
      </c>
      <c r="P336" t="s">
        <v>44</v>
      </c>
      <c r="Q336" t="s">
        <v>44</v>
      </c>
      <c r="R336">
        <v>2.25</v>
      </c>
      <c r="S336" s="5">
        <f t="shared" si="5"/>
        <v>18.600000000000001</v>
      </c>
      <c r="T336" t="s">
        <v>44</v>
      </c>
      <c r="U336" t="s">
        <v>44</v>
      </c>
      <c r="V336" t="s">
        <v>48</v>
      </c>
      <c r="W336" t="s">
        <v>44</v>
      </c>
      <c r="X336">
        <v>5</v>
      </c>
      <c r="Y336">
        <v>80</v>
      </c>
      <c r="Z336">
        <v>6</v>
      </c>
      <c r="AA336">
        <v>2000</v>
      </c>
      <c r="AB336" t="s">
        <v>49</v>
      </c>
      <c r="AC336" t="s">
        <v>50</v>
      </c>
      <c r="AD336">
        <v>1</v>
      </c>
      <c r="AE336">
        <v>0.10199999999999999</v>
      </c>
      <c r="AF336">
        <v>0.35799999999999998</v>
      </c>
      <c r="AG336">
        <v>-365</v>
      </c>
      <c r="AH336">
        <v>-2</v>
      </c>
      <c r="AI336">
        <v>0.23</v>
      </c>
      <c r="AJ336">
        <v>0.379</v>
      </c>
      <c r="AK336">
        <v>-1080</v>
      </c>
      <c r="AL336">
        <v>15</v>
      </c>
      <c r="AM336" t="s">
        <v>44</v>
      </c>
      <c r="AN336">
        <v>7.4</v>
      </c>
      <c r="AO336" t="s">
        <v>80</v>
      </c>
      <c r="AP336">
        <v>1</v>
      </c>
      <c r="AQ336">
        <v>106</v>
      </c>
    </row>
    <row r="337" spans="1:43" x14ac:dyDescent="0.2">
      <c r="A337" t="s">
        <v>42</v>
      </c>
      <c r="B337" t="s">
        <v>43</v>
      </c>
      <c r="C337">
        <v>86.14</v>
      </c>
      <c r="D337" t="s">
        <v>44</v>
      </c>
      <c r="G337" t="s">
        <v>44</v>
      </c>
      <c r="H337">
        <v>1</v>
      </c>
      <c r="I337" t="s">
        <v>45</v>
      </c>
      <c r="J337" t="s">
        <v>46</v>
      </c>
      <c r="K337">
        <v>265.5</v>
      </c>
      <c r="L337">
        <v>0.153</v>
      </c>
      <c r="M337" t="s">
        <v>98</v>
      </c>
      <c r="N337" t="s">
        <v>44</v>
      </c>
      <c r="O337" t="s">
        <v>44</v>
      </c>
      <c r="P337" t="s">
        <v>44</v>
      </c>
      <c r="Q337" t="s">
        <v>44</v>
      </c>
      <c r="R337">
        <v>1.153</v>
      </c>
      <c r="S337" s="5">
        <f t="shared" si="5"/>
        <v>20.149999999999999</v>
      </c>
      <c r="T337" t="s">
        <v>44</v>
      </c>
      <c r="U337" t="s">
        <v>44</v>
      </c>
      <c r="V337" t="s">
        <v>48</v>
      </c>
      <c r="W337" t="s">
        <v>44</v>
      </c>
      <c r="X337" t="s">
        <v>44</v>
      </c>
      <c r="Y337" t="s">
        <v>44</v>
      </c>
      <c r="Z337">
        <v>10</v>
      </c>
      <c r="AA337">
        <v>1000</v>
      </c>
      <c r="AB337" t="s">
        <v>49</v>
      </c>
      <c r="AC337" t="s">
        <v>50</v>
      </c>
      <c r="AD337">
        <v>1</v>
      </c>
      <c r="AE337">
        <v>0.10199999999999999</v>
      </c>
      <c r="AF337">
        <v>0.35799999999999998</v>
      </c>
      <c r="AG337">
        <v>-365</v>
      </c>
      <c r="AH337">
        <v>-2</v>
      </c>
      <c r="AI337">
        <v>0.23</v>
      </c>
      <c r="AJ337">
        <v>0.379</v>
      </c>
      <c r="AK337">
        <v>-1080</v>
      </c>
      <c r="AL337">
        <v>30</v>
      </c>
      <c r="AM337" t="s">
        <v>44</v>
      </c>
      <c r="AN337">
        <v>7.5</v>
      </c>
      <c r="AO337" t="s">
        <v>105</v>
      </c>
      <c r="AP337">
        <v>1</v>
      </c>
      <c r="AQ337">
        <v>100</v>
      </c>
    </row>
    <row r="338" spans="1:43" x14ac:dyDescent="0.2">
      <c r="A338" t="s">
        <v>67</v>
      </c>
      <c r="B338" t="s">
        <v>68</v>
      </c>
      <c r="C338">
        <v>210.27</v>
      </c>
      <c r="D338" t="s">
        <v>44</v>
      </c>
      <c r="G338" t="s">
        <v>44</v>
      </c>
      <c r="H338">
        <v>4</v>
      </c>
      <c r="I338" t="s">
        <v>45</v>
      </c>
      <c r="J338" t="s">
        <v>46</v>
      </c>
      <c r="K338">
        <v>265.5</v>
      </c>
      <c r="L338">
        <v>0.3</v>
      </c>
      <c r="M338" t="s">
        <v>47</v>
      </c>
      <c r="N338" t="s">
        <v>61</v>
      </c>
      <c r="O338">
        <v>0.1</v>
      </c>
      <c r="P338" t="s">
        <v>44</v>
      </c>
      <c r="Q338" t="s">
        <v>44</v>
      </c>
      <c r="R338">
        <v>4.3</v>
      </c>
      <c r="S338" s="5">
        <f t="shared" si="5"/>
        <v>16.84</v>
      </c>
      <c r="T338" t="s">
        <v>44</v>
      </c>
      <c r="U338" t="s">
        <v>44</v>
      </c>
      <c r="V338" t="s">
        <v>48</v>
      </c>
      <c r="W338" t="s">
        <v>44</v>
      </c>
      <c r="X338">
        <v>15</v>
      </c>
      <c r="Y338">
        <v>80</v>
      </c>
      <c r="Z338">
        <v>4</v>
      </c>
      <c r="AA338">
        <v>2000</v>
      </c>
      <c r="AB338" t="s">
        <v>69</v>
      </c>
      <c r="AC338" t="s">
        <v>50</v>
      </c>
      <c r="AD338">
        <v>2</v>
      </c>
      <c r="AE338">
        <v>7.1999999999999995E-2</v>
      </c>
      <c r="AF338">
        <v>0.42799999999999999</v>
      </c>
      <c r="AG338">
        <v>-1830</v>
      </c>
      <c r="AH338">
        <v>-2</v>
      </c>
      <c r="AI338">
        <v>0.23</v>
      </c>
      <c r="AJ338">
        <v>0.379</v>
      </c>
      <c r="AK338">
        <v>-1080</v>
      </c>
      <c r="AL338">
        <v>180</v>
      </c>
      <c r="AM338" t="s">
        <v>44</v>
      </c>
      <c r="AN338">
        <v>7.5</v>
      </c>
      <c r="AO338" t="s">
        <v>70</v>
      </c>
      <c r="AP338">
        <v>1</v>
      </c>
      <c r="AQ338">
        <v>101</v>
      </c>
    </row>
    <row r="339" spans="1:43" x14ac:dyDescent="0.2">
      <c r="A339" t="s">
        <v>77</v>
      </c>
      <c r="B339" t="s">
        <v>78</v>
      </c>
      <c r="C339">
        <v>114.19</v>
      </c>
      <c r="D339" t="s">
        <v>44</v>
      </c>
      <c r="G339" t="s">
        <v>44</v>
      </c>
      <c r="H339">
        <v>2</v>
      </c>
      <c r="I339" t="s">
        <v>45</v>
      </c>
      <c r="J339" t="s">
        <v>46</v>
      </c>
      <c r="K339">
        <v>265.5</v>
      </c>
      <c r="L339">
        <v>0.25</v>
      </c>
      <c r="M339" t="s">
        <v>47</v>
      </c>
      <c r="N339" t="s">
        <v>44</v>
      </c>
      <c r="O339" t="s">
        <v>44</v>
      </c>
      <c r="P339" t="s">
        <v>44</v>
      </c>
      <c r="Q339" t="s">
        <v>44</v>
      </c>
      <c r="R339">
        <v>2.25</v>
      </c>
      <c r="S339" s="5">
        <f t="shared" si="5"/>
        <v>18.600000000000001</v>
      </c>
      <c r="T339" t="s">
        <v>44</v>
      </c>
      <c r="U339" t="s">
        <v>44</v>
      </c>
      <c r="V339" t="s">
        <v>48</v>
      </c>
      <c r="W339" t="s">
        <v>44</v>
      </c>
      <c r="X339">
        <v>5</v>
      </c>
      <c r="Y339">
        <v>80</v>
      </c>
      <c r="Z339">
        <v>6</v>
      </c>
      <c r="AA339">
        <v>2000</v>
      </c>
      <c r="AB339" t="s">
        <v>49</v>
      </c>
      <c r="AC339" t="s">
        <v>50</v>
      </c>
      <c r="AD339">
        <v>1</v>
      </c>
      <c r="AE339">
        <v>0.10199999999999999</v>
      </c>
      <c r="AF339">
        <v>0.35799999999999998</v>
      </c>
      <c r="AG339">
        <v>-365</v>
      </c>
      <c r="AH339">
        <v>-2</v>
      </c>
      <c r="AI339">
        <v>0.23</v>
      </c>
      <c r="AJ339">
        <v>0.379</v>
      </c>
      <c r="AK339">
        <v>-1080</v>
      </c>
      <c r="AL339">
        <v>10</v>
      </c>
      <c r="AM339" t="s">
        <v>44</v>
      </c>
      <c r="AN339">
        <v>7.5</v>
      </c>
      <c r="AO339" t="s">
        <v>80</v>
      </c>
      <c r="AP339">
        <v>1</v>
      </c>
      <c r="AQ339">
        <v>102</v>
      </c>
    </row>
    <row r="340" spans="1:43" x14ac:dyDescent="0.2">
      <c r="A340" t="s">
        <v>67</v>
      </c>
      <c r="B340" t="s">
        <v>68</v>
      </c>
      <c r="C340">
        <v>210.27</v>
      </c>
      <c r="D340" t="s">
        <v>44</v>
      </c>
      <c r="G340" t="s">
        <v>44</v>
      </c>
      <c r="H340">
        <v>4</v>
      </c>
      <c r="I340" t="s">
        <v>45</v>
      </c>
      <c r="J340" t="s">
        <v>46</v>
      </c>
      <c r="K340">
        <v>265.5</v>
      </c>
      <c r="L340">
        <v>0.25</v>
      </c>
      <c r="M340" t="s">
        <v>47</v>
      </c>
      <c r="N340" t="s">
        <v>61</v>
      </c>
      <c r="O340">
        <v>0.1</v>
      </c>
      <c r="P340" t="s">
        <v>44</v>
      </c>
      <c r="Q340" t="s">
        <v>44</v>
      </c>
      <c r="R340">
        <v>4.25</v>
      </c>
      <c r="S340" s="5">
        <f t="shared" si="5"/>
        <v>20.2</v>
      </c>
      <c r="T340" t="s">
        <v>44</v>
      </c>
      <c r="U340" t="s">
        <v>44</v>
      </c>
      <c r="V340" t="s">
        <v>48</v>
      </c>
      <c r="W340" t="s">
        <v>44</v>
      </c>
      <c r="X340">
        <v>15</v>
      </c>
      <c r="Y340">
        <v>80</v>
      </c>
      <c r="Z340">
        <v>4</v>
      </c>
      <c r="AA340">
        <v>2000</v>
      </c>
      <c r="AB340" t="s">
        <v>69</v>
      </c>
      <c r="AC340" t="s">
        <v>50</v>
      </c>
      <c r="AD340">
        <v>2</v>
      </c>
      <c r="AE340">
        <v>7.1999999999999995E-2</v>
      </c>
      <c r="AF340">
        <v>0.42799999999999999</v>
      </c>
      <c r="AG340">
        <v>-1830</v>
      </c>
      <c r="AH340">
        <v>-2</v>
      </c>
      <c r="AI340">
        <v>0.23</v>
      </c>
      <c r="AJ340">
        <v>0.379</v>
      </c>
      <c r="AK340">
        <v>-1080</v>
      </c>
      <c r="AL340">
        <v>180</v>
      </c>
      <c r="AM340" t="s">
        <v>44</v>
      </c>
      <c r="AN340">
        <v>7.6</v>
      </c>
      <c r="AO340" t="s">
        <v>70</v>
      </c>
      <c r="AP340">
        <v>1</v>
      </c>
      <c r="AQ340">
        <v>97</v>
      </c>
    </row>
    <row r="341" spans="1:43" x14ac:dyDescent="0.2">
      <c r="A341" t="s">
        <v>42</v>
      </c>
      <c r="B341" t="s">
        <v>43</v>
      </c>
      <c r="C341">
        <v>86.14</v>
      </c>
      <c r="D341" t="s">
        <v>44</v>
      </c>
      <c r="G341" t="s">
        <v>44</v>
      </c>
      <c r="H341">
        <v>1.5</v>
      </c>
      <c r="I341" t="s">
        <v>45</v>
      </c>
      <c r="J341" t="s">
        <v>46</v>
      </c>
      <c r="K341">
        <v>265.5</v>
      </c>
      <c r="L341">
        <v>2.5000000000000001E-2</v>
      </c>
      <c r="M341" t="s">
        <v>47</v>
      </c>
      <c r="N341" t="s">
        <v>44</v>
      </c>
      <c r="O341" t="s">
        <v>44</v>
      </c>
      <c r="P341" t="s">
        <v>44</v>
      </c>
      <c r="Q341" t="s">
        <v>44</v>
      </c>
      <c r="R341">
        <v>1.5249999999999999</v>
      </c>
      <c r="S341" s="5">
        <f t="shared" si="5"/>
        <v>184.93</v>
      </c>
      <c r="T341" t="s">
        <v>44</v>
      </c>
      <c r="U341" t="s">
        <v>44</v>
      </c>
      <c r="V341" t="s">
        <v>48</v>
      </c>
      <c r="W341" t="s">
        <v>44</v>
      </c>
      <c r="X341">
        <v>8</v>
      </c>
      <c r="Y341">
        <v>70</v>
      </c>
      <c r="Z341">
        <v>6</v>
      </c>
      <c r="AA341">
        <v>2000</v>
      </c>
      <c r="AB341" t="s">
        <v>49</v>
      </c>
      <c r="AC341" t="s">
        <v>50</v>
      </c>
      <c r="AD341">
        <v>1</v>
      </c>
      <c r="AE341">
        <v>0.10199999999999999</v>
      </c>
      <c r="AF341">
        <v>0.35799999999999998</v>
      </c>
      <c r="AG341">
        <v>-365</v>
      </c>
      <c r="AH341">
        <v>-2</v>
      </c>
      <c r="AI341">
        <v>0.23</v>
      </c>
      <c r="AJ341">
        <v>0.379</v>
      </c>
      <c r="AK341">
        <v>-1080</v>
      </c>
      <c r="AL341">
        <v>60</v>
      </c>
      <c r="AM341" t="s">
        <v>44</v>
      </c>
      <c r="AN341">
        <v>7.6</v>
      </c>
      <c r="AO341" t="s">
        <v>100</v>
      </c>
      <c r="AP341">
        <v>1</v>
      </c>
      <c r="AQ341">
        <v>98</v>
      </c>
    </row>
    <row r="342" spans="1:43" x14ac:dyDescent="0.2">
      <c r="A342" t="s">
        <v>77</v>
      </c>
      <c r="B342" t="s">
        <v>78</v>
      </c>
      <c r="C342">
        <v>114.19</v>
      </c>
      <c r="D342" t="s">
        <v>44</v>
      </c>
      <c r="G342" t="s">
        <v>44</v>
      </c>
      <c r="H342">
        <v>2</v>
      </c>
      <c r="I342" t="s">
        <v>45</v>
      </c>
      <c r="J342" t="s">
        <v>46</v>
      </c>
      <c r="K342">
        <v>265.5</v>
      </c>
      <c r="L342">
        <v>0.15</v>
      </c>
      <c r="M342" t="s">
        <v>47</v>
      </c>
      <c r="N342" t="s">
        <v>44</v>
      </c>
      <c r="O342" t="s">
        <v>44</v>
      </c>
      <c r="P342" t="s">
        <v>44</v>
      </c>
      <c r="Q342" t="s">
        <v>44</v>
      </c>
      <c r="R342">
        <v>2.15</v>
      </c>
      <c r="S342" s="5">
        <f t="shared" si="5"/>
        <v>31</v>
      </c>
      <c r="T342" t="s">
        <v>44</v>
      </c>
      <c r="U342" t="s">
        <v>44</v>
      </c>
      <c r="V342" t="s">
        <v>48</v>
      </c>
      <c r="W342" t="s">
        <v>44</v>
      </c>
      <c r="X342">
        <v>5</v>
      </c>
      <c r="Y342">
        <v>80</v>
      </c>
      <c r="Z342">
        <v>6</v>
      </c>
      <c r="AA342">
        <v>2000</v>
      </c>
      <c r="AB342" t="s">
        <v>49</v>
      </c>
      <c r="AC342" t="s">
        <v>50</v>
      </c>
      <c r="AD342">
        <v>1</v>
      </c>
      <c r="AE342">
        <v>0.10199999999999999</v>
      </c>
      <c r="AF342">
        <v>0.35799999999999998</v>
      </c>
      <c r="AG342">
        <v>-365</v>
      </c>
      <c r="AH342">
        <v>-2</v>
      </c>
      <c r="AI342">
        <v>0.23</v>
      </c>
      <c r="AJ342">
        <v>0.379</v>
      </c>
      <c r="AK342">
        <v>-1080</v>
      </c>
      <c r="AL342">
        <v>15</v>
      </c>
      <c r="AM342" t="s">
        <v>44</v>
      </c>
      <c r="AN342">
        <v>7.6</v>
      </c>
      <c r="AO342" t="s">
        <v>80</v>
      </c>
      <c r="AP342">
        <v>1</v>
      </c>
      <c r="AQ342">
        <v>99</v>
      </c>
    </row>
    <row r="343" spans="1:43" x14ac:dyDescent="0.2">
      <c r="A343" t="s">
        <v>67</v>
      </c>
      <c r="B343" t="s">
        <v>68</v>
      </c>
      <c r="C343">
        <v>210.27</v>
      </c>
      <c r="D343" t="s">
        <v>44</v>
      </c>
      <c r="G343" t="s">
        <v>44</v>
      </c>
      <c r="H343">
        <v>5</v>
      </c>
      <c r="I343" t="s">
        <v>45</v>
      </c>
      <c r="J343" t="s">
        <v>46</v>
      </c>
      <c r="K343">
        <v>265.5</v>
      </c>
      <c r="L343">
        <v>0.2</v>
      </c>
      <c r="M343" t="s">
        <v>47</v>
      </c>
      <c r="N343" t="s">
        <v>61</v>
      </c>
      <c r="O343">
        <v>0.1</v>
      </c>
      <c r="P343" t="s">
        <v>44</v>
      </c>
      <c r="Q343" t="s">
        <v>44</v>
      </c>
      <c r="R343">
        <v>5.2</v>
      </c>
      <c r="S343" s="5">
        <f t="shared" si="5"/>
        <v>31.57</v>
      </c>
      <c r="T343" t="s">
        <v>44</v>
      </c>
      <c r="U343" t="s">
        <v>44</v>
      </c>
      <c r="V343" t="s">
        <v>48</v>
      </c>
      <c r="W343" t="s">
        <v>44</v>
      </c>
      <c r="X343">
        <v>15</v>
      </c>
      <c r="Y343">
        <v>80</v>
      </c>
      <c r="Z343">
        <v>4</v>
      </c>
      <c r="AA343">
        <v>2000</v>
      </c>
      <c r="AB343" t="s">
        <v>69</v>
      </c>
      <c r="AC343" t="s">
        <v>50</v>
      </c>
      <c r="AD343">
        <v>2</v>
      </c>
      <c r="AE343">
        <v>7.1999999999999995E-2</v>
      </c>
      <c r="AF343">
        <v>0.42799999999999999</v>
      </c>
      <c r="AG343">
        <v>-1830</v>
      </c>
      <c r="AH343">
        <v>-2</v>
      </c>
      <c r="AI343">
        <v>0.23</v>
      </c>
      <c r="AJ343">
        <v>0.379</v>
      </c>
      <c r="AK343">
        <v>-1080</v>
      </c>
      <c r="AL343">
        <v>180</v>
      </c>
      <c r="AM343" t="s">
        <v>44</v>
      </c>
      <c r="AN343">
        <v>7.7</v>
      </c>
      <c r="AO343" t="s">
        <v>70</v>
      </c>
      <c r="AP343">
        <v>1</v>
      </c>
      <c r="AQ343">
        <v>96</v>
      </c>
    </row>
    <row r="344" spans="1:43" x14ac:dyDescent="0.2">
      <c r="A344" t="s">
        <v>42</v>
      </c>
      <c r="B344" t="s">
        <v>43</v>
      </c>
      <c r="C344">
        <v>86.14</v>
      </c>
      <c r="D344" t="s">
        <v>44</v>
      </c>
      <c r="G344" t="s">
        <v>44</v>
      </c>
      <c r="H344">
        <v>1</v>
      </c>
      <c r="I344" t="s">
        <v>45</v>
      </c>
      <c r="J344" t="s">
        <v>46</v>
      </c>
      <c r="K344">
        <v>265.5</v>
      </c>
      <c r="L344">
        <v>0.22800000000000001</v>
      </c>
      <c r="M344" t="s">
        <v>47</v>
      </c>
      <c r="N344" t="s">
        <v>44</v>
      </c>
      <c r="O344" t="s">
        <v>44</v>
      </c>
      <c r="P344" t="s">
        <v>44</v>
      </c>
      <c r="Q344" t="s">
        <v>44</v>
      </c>
      <c r="R344">
        <v>1.228</v>
      </c>
      <c r="S344" s="5">
        <f t="shared" si="5"/>
        <v>13.52</v>
      </c>
      <c r="T344" t="s">
        <v>44</v>
      </c>
      <c r="U344" t="s">
        <v>44</v>
      </c>
      <c r="V344" t="s">
        <v>48</v>
      </c>
      <c r="W344" t="s">
        <v>44</v>
      </c>
      <c r="X344">
        <v>5</v>
      </c>
      <c r="Y344">
        <v>80</v>
      </c>
      <c r="Z344">
        <v>6</v>
      </c>
      <c r="AA344">
        <v>2000</v>
      </c>
      <c r="AB344" t="s">
        <v>49</v>
      </c>
      <c r="AC344" t="s">
        <v>50</v>
      </c>
      <c r="AD344">
        <v>1</v>
      </c>
      <c r="AE344">
        <v>0.10199999999999999</v>
      </c>
      <c r="AF344">
        <v>0.35799999999999998</v>
      </c>
      <c r="AG344">
        <v>-365</v>
      </c>
      <c r="AH344">
        <v>-2</v>
      </c>
      <c r="AI344">
        <v>0.23</v>
      </c>
      <c r="AJ344">
        <v>0.379</v>
      </c>
      <c r="AK344">
        <v>-1080</v>
      </c>
      <c r="AL344">
        <v>15</v>
      </c>
      <c r="AM344" t="s">
        <v>44</v>
      </c>
      <c r="AN344">
        <v>7.8</v>
      </c>
      <c r="AO344" t="s">
        <v>82</v>
      </c>
      <c r="AP344">
        <v>1</v>
      </c>
      <c r="AQ344">
        <v>94</v>
      </c>
    </row>
    <row r="345" spans="1:43" x14ac:dyDescent="0.2">
      <c r="A345" t="s">
        <v>77</v>
      </c>
      <c r="B345" t="s">
        <v>78</v>
      </c>
      <c r="C345">
        <v>114.19</v>
      </c>
      <c r="D345" t="s">
        <v>44</v>
      </c>
      <c r="G345" t="s">
        <v>44</v>
      </c>
      <c r="H345">
        <v>2</v>
      </c>
      <c r="I345" t="s">
        <v>45</v>
      </c>
      <c r="J345" t="s">
        <v>46</v>
      </c>
      <c r="K345">
        <v>265.5</v>
      </c>
      <c r="L345">
        <v>0.25</v>
      </c>
      <c r="M345" t="s">
        <v>47</v>
      </c>
      <c r="N345" t="s">
        <v>44</v>
      </c>
      <c r="O345" t="s">
        <v>44</v>
      </c>
      <c r="P345" t="s">
        <v>44</v>
      </c>
      <c r="Q345" t="s">
        <v>44</v>
      </c>
      <c r="R345">
        <v>2.25</v>
      </c>
      <c r="S345" s="5">
        <f t="shared" si="5"/>
        <v>18.600000000000001</v>
      </c>
      <c r="T345" t="s">
        <v>44</v>
      </c>
      <c r="U345" t="s">
        <v>44</v>
      </c>
      <c r="V345" t="s">
        <v>48</v>
      </c>
      <c r="W345" t="s">
        <v>44</v>
      </c>
      <c r="X345">
        <v>5</v>
      </c>
      <c r="Y345">
        <v>40</v>
      </c>
      <c r="Z345">
        <v>6</v>
      </c>
      <c r="AA345">
        <v>2000</v>
      </c>
      <c r="AB345" t="s">
        <v>49</v>
      </c>
      <c r="AC345" t="s">
        <v>50</v>
      </c>
      <c r="AD345">
        <v>1</v>
      </c>
      <c r="AE345">
        <v>0.10199999999999999</v>
      </c>
      <c r="AF345">
        <v>0.35799999999999998</v>
      </c>
      <c r="AG345">
        <v>-365</v>
      </c>
      <c r="AH345">
        <v>-2</v>
      </c>
      <c r="AI345">
        <v>0.23</v>
      </c>
      <c r="AJ345">
        <v>0.379</v>
      </c>
      <c r="AK345">
        <v>-1080</v>
      </c>
      <c r="AL345">
        <v>15</v>
      </c>
      <c r="AM345" t="s">
        <v>44</v>
      </c>
      <c r="AN345">
        <v>7.8</v>
      </c>
      <c r="AO345" t="s">
        <v>80</v>
      </c>
      <c r="AP345">
        <v>1</v>
      </c>
      <c r="AQ345">
        <v>95</v>
      </c>
    </row>
    <row r="346" spans="1:43" x14ac:dyDescent="0.2">
      <c r="A346" t="s">
        <v>96</v>
      </c>
      <c r="B346" t="s">
        <v>97</v>
      </c>
      <c r="C346">
        <v>116.17</v>
      </c>
      <c r="D346" t="s">
        <v>44</v>
      </c>
      <c r="G346" t="s">
        <v>44</v>
      </c>
      <c r="H346">
        <v>2</v>
      </c>
      <c r="I346" t="s">
        <v>45</v>
      </c>
      <c r="J346" t="s">
        <v>46</v>
      </c>
      <c r="K346">
        <v>265.5</v>
      </c>
      <c r="L346">
        <v>0.13</v>
      </c>
      <c r="M346" t="s">
        <v>98</v>
      </c>
      <c r="N346" t="s">
        <v>44</v>
      </c>
      <c r="O346" t="s">
        <v>44</v>
      </c>
      <c r="P346" t="s">
        <v>44</v>
      </c>
      <c r="Q346" t="s">
        <v>44</v>
      </c>
      <c r="R346">
        <v>2.13</v>
      </c>
      <c r="S346" s="5">
        <f t="shared" si="5"/>
        <v>35.159999999999997</v>
      </c>
      <c r="T346" t="s">
        <v>44</v>
      </c>
      <c r="U346" t="s">
        <v>44</v>
      </c>
      <c r="V346" t="s">
        <v>48</v>
      </c>
      <c r="W346" t="s">
        <v>44</v>
      </c>
      <c r="X346" t="s">
        <v>44</v>
      </c>
      <c r="Y346">
        <v>25</v>
      </c>
      <c r="Z346">
        <v>10</v>
      </c>
      <c r="AA346">
        <v>3000</v>
      </c>
      <c r="AB346" t="s">
        <v>49</v>
      </c>
      <c r="AC346" t="s">
        <v>52</v>
      </c>
      <c r="AD346">
        <v>1</v>
      </c>
      <c r="AE346">
        <v>0.10199999999999999</v>
      </c>
      <c r="AF346">
        <v>0.35799999999999998</v>
      </c>
      <c r="AG346">
        <v>-365</v>
      </c>
      <c r="AH346">
        <v>-1</v>
      </c>
      <c r="AI346">
        <v>0.18099999999999999</v>
      </c>
      <c r="AJ346">
        <v>0.33200000000000002</v>
      </c>
      <c r="AK346">
        <v>-340</v>
      </c>
      <c r="AL346">
        <v>10</v>
      </c>
      <c r="AM346" t="s">
        <v>44</v>
      </c>
      <c r="AN346">
        <v>7.9</v>
      </c>
      <c r="AO346" t="s">
        <v>99</v>
      </c>
      <c r="AP346">
        <v>1</v>
      </c>
      <c r="AQ346">
        <v>92</v>
      </c>
    </row>
    <row r="347" spans="1:43" x14ac:dyDescent="0.2">
      <c r="A347" t="s">
        <v>42</v>
      </c>
      <c r="B347" t="s">
        <v>43</v>
      </c>
      <c r="C347">
        <v>86.14</v>
      </c>
      <c r="D347" t="s">
        <v>71</v>
      </c>
      <c r="E347" t="s">
        <v>72</v>
      </c>
      <c r="F347">
        <v>101.19</v>
      </c>
      <c r="G347">
        <v>5</v>
      </c>
      <c r="H347">
        <v>2</v>
      </c>
      <c r="I347" t="s">
        <v>45</v>
      </c>
      <c r="J347" t="s">
        <v>46</v>
      </c>
      <c r="K347">
        <v>265.5</v>
      </c>
      <c r="L347">
        <v>0.45600000000000002</v>
      </c>
      <c r="M347" t="s">
        <v>47</v>
      </c>
      <c r="N347" t="s">
        <v>44</v>
      </c>
      <c r="O347" t="s">
        <v>44</v>
      </c>
      <c r="P347" t="s">
        <v>44</v>
      </c>
      <c r="Q347" t="s">
        <v>44</v>
      </c>
      <c r="R347">
        <v>2.456</v>
      </c>
      <c r="S347" s="5">
        <f t="shared" si="5"/>
        <v>13.18</v>
      </c>
      <c r="T347" t="s">
        <v>44</v>
      </c>
      <c r="U347" t="s">
        <v>61</v>
      </c>
      <c r="V347" t="s">
        <v>106</v>
      </c>
      <c r="W347">
        <v>0.76300000000000001</v>
      </c>
      <c r="X347">
        <v>2</v>
      </c>
      <c r="Y347">
        <v>70</v>
      </c>
      <c r="Z347">
        <v>10</v>
      </c>
      <c r="AA347">
        <v>1000</v>
      </c>
      <c r="AB347" t="s">
        <v>49</v>
      </c>
      <c r="AC347" t="s">
        <v>50</v>
      </c>
      <c r="AD347">
        <v>1</v>
      </c>
      <c r="AE347">
        <v>0.10199999999999999</v>
      </c>
      <c r="AF347">
        <v>0.35799999999999998</v>
      </c>
      <c r="AG347">
        <v>-365</v>
      </c>
      <c r="AH347">
        <v>-2</v>
      </c>
      <c r="AI347">
        <v>0.23</v>
      </c>
      <c r="AJ347">
        <v>0.379</v>
      </c>
      <c r="AK347">
        <v>-1080</v>
      </c>
      <c r="AL347">
        <v>120</v>
      </c>
      <c r="AM347" t="s">
        <v>44</v>
      </c>
      <c r="AN347">
        <v>7.9</v>
      </c>
      <c r="AO347" t="s">
        <v>107</v>
      </c>
      <c r="AP347">
        <v>1</v>
      </c>
      <c r="AQ347">
        <v>93</v>
      </c>
    </row>
    <row r="348" spans="1:43" x14ac:dyDescent="0.2">
      <c r="A348" t="s">
        <v>42</v>
      </c>
      <c r="B348" t="s">
        <v>43</v>
      </c>
      <c r="C348">
        <v>86.14</v>
      </c>
      <c r="D348" t="s">
        <v>44</v>
      </c>
      <c r="G348" t="s">
        <v>44</v>
      </c>
      <c r="H348">
        <v>1</v>
      </c>
      <c r="I348" t="s">
        <v>45</v>
      </c>
      <c r="J348" t="s">
        <v>46</v>
      </c>
      <c r="K348">
        <v>265.5</v>
      </c>
      <c r="L348">
        <v>7.5999999999999998E-2</v>
      </c>
      <c r="M348" t="s">
        <v>98</v>
      </c>
      <c r="N348" t="s">
        <v>44</v>
      </c>
      <c r="O348" t="s">
        <v>44</v>
      </c>
      <c r="P348" t="s">
        <v>44</v>
      </c>
      <c r="Q348" t="s">
        <v>44</v>
      </c>
      <c r="R348">
        <v>1.0760000000000001</v>
      </c>
      <c r="S348" s="5">
        <f t="shared" si="5"/>
        <v>40.56</v>
      </c>
      <c r="T348" t="s">
        <v>44</v>
      </c>
      <c r="U348" t="s">
        <v>44</v>
      </c>
      <c r="V348" t="s">
        <v>48</v>
      </c>
      <c r="W348" t="s">
        <v>44</v>
      </c>
      <c r="X348" t="s">
        <v>44</v>
      </c>
      <c r="Y348" t="s">
        <v>44</v>
      </c>
      <c r="Z348">
        <v>10</v>
      </c>
      <c r="AA348">
        <v>1000</v>
      </c>
      <c r="AB348" t="s">
        <v>49</v>
      </c>
      <c r="AC348" t="s">
        <v>50</v>
      </c>
      <c r="AD348">
        <v>1</v>
      </c>
      <c r="AE348">
        <v>0.10199999999999999</v>
      </c>
      <c r="AF348">
        <v>0.35799999999999998</v>
      </c>
      <c r="AG348">
        <v>-365</v>
      </c>
      <c r="AH348">
        <v>-2</v>
      </c>
      <c r="AI348">
        <v>0.23</v>
      </c>
      <c r="AJ348">
        <v>0.379</v>
      </c>
      <c r="AK348">
        <v>-1080</v>
      </c>
      <c r="AL348">
        <v>30</v>
      </c>
      <c r="AM348" t="s">
        <v>44</v>
      </c>
      <c r="AN348">
        <v>8</v>
      </c>
      <c r="AO348" t="s">
        <v>105</v>
      </c>
      <c r="AP348">
        <v>1</v>
      </c>
      <c r="AQ348">
        <v>91</v>
      </c>
    </row>
    <row r="349" spans="1:43" x14ac:dyDescent="0.2">
      <c r="A349" t="s">
        <v>42</v>
      </c>
      <c r="B349" t="s">
        <v>43</v>
      </c>
      <c r="C349">
        <v>86.14</v>
      </c>
      <c r="D349" t="s">
        <v>44</v>
      </c>
      <c r="G349" t="s">
        <v>44</v>
      </c>
      <c r="H349">
        <v>1</v>
      </c>
      <c r="I349" t="s">
        <v>45</v>
      </c>
      <c r="J349" t="s">
        <v>46</v>
      </c>
      <c r="K349">
        <v>265.5</v>
      </c>
      <c r="L349">
        <v>0.22800000000000001</v>
      </c>
      <c r="M349" t="s">
        <v>47</v>
      </c>
      <c r="N349" t="s">
        <v>81</v>
      </c>
      <c r="O349">
        <v>0.1</v>
      </c>
      <c r="P349" t="s">
        <v>44</v>
      </c>
      <c r="Q349" t="s">
        <v>44</v>
      </c>
      <c r="R349">
        <v>1.228</v>
      </c>
      <c r="S349" s="5">
        <f t="shared" si="5"/>
        <v>13.52</v>
      </c>
      <c r="T349" t="s">
        <v>44</v>
      </c>
      <c r="U349" t="s">
        <v>44</v>
      </c>
      <c r="V349" t="s">
        <v>48</v>
      </c>
      <c r="W349" t="s">
        <v>44</v>
      </c>
      <c r="X349">
        <v>5</v>
      </c>
      <c r="Y349">
        <v>80</v>
      </c>
      <c r="Z349">
        <v>6</v>
      </c>
      <c r="AA349">
        <v>2000</v>
      </c>
      <c r="AB349" t="s">
        <v>49</v>
      </c>
      <c r="AC349" t="s">
        <v>50</v>
      </c>
      <c r="AD349">
        <v>1</v>
      </c>
      <c r="AE349">
        <v>0.10199999999999999</v>
      </c>
      <c r="AF349">
        <v>0.35799999999999998</v>
      </c>
      <c r="AG349">
        <v>-365</v>
      </c>
      <c r="AH349">
        <v>-2</v>
      </c>
      <c r="AI349">
        <v>0.23</v>
      </c>
      <c r="AJ349">
        <v>0.379</v>
      </c>
      <c r="AK349">
        <v>-1080</v>
      </c>
      <c r="AL349">
        <v>60</v>
      </c>
      <c r="AM349" t="s">
        <v>44</v>
      </c>
      <c r="AN349">
        <v>8.1</v>
      </c>
      <c r="AO349" t="s">
        <v>82</v>
      </c>
      <c r="AP349">
        <v>1</v>
      </c>
      <c r="AQ349">
        <v>88</v>
      </c>
    </row>
    <row r="350" spans="1:43" x14ac:dyDescent="0.2">
      <c r="A350" t="s">
        <v>42</v>
      </c>
      <c r="B350" t="s">
        <v>43</v>
      </c>
      <c r="C350">
        <v>86.14</v>
      </c>
      <c r="D350" t="s">
        <v>44</v>
      </c>
      <c r="G350" t="s">
        <v>44</v>
      </c>
      <c r="H350">
        <v>1.5</v>
      </c>
      <c r="I350" t="s">
        <v>45</v>
      </c>
      <c r="J350" t="s">
        <v>46</v>
      </c>
      <c r="K350">
        <v>265.5</v>
      </c>
      <c r="L350">
        <v>0.15</v>
      </c>
      <c r="M350" t="s">
        <v>47</v>
      </c>
      <c r="N350" t="s">
        <v>44</v>
      </c>
      <c r="O350" t="s">
        <v>44</v>
      </c>
      <c r="P350" t="s">
        <v>44</v>
      </c>
      <c r="Q350" t="s">
        <v>44</v>
      </c>
      <c r="R350">
        <v>1.65</v>
      </c>
      <c r="S350" s="5">
        <f t="shared" si="5"/>
        <v>30.82</v>
      </c>
      <c r="T350" t="s">
        <v>44</v>
      </c>
      <c r="U350" t="s">
        <v>44</v>
      </c>
      <c r="V350" t="s">
        <v>48</v>
      </c>
      <c r="W350" t="s">
        <v>44</v>
      </c>
      <c r="X350">
        <v>8</v>
      </c>
      <c r="Y350">
        <v>70</v>
      </c>
      <c r="Z350">
        <v>6</v>
      </c>
      <c r="AA350">
        <v>2000</v>
      </c>
      <c r="AB350" t="s">
        <v>49</v>
      </c>
      <c r="AC350" t="s">
        <v>50</v>
      </c>
      <c r="AD350">
        <v>1</v>
      </c>
      <c r="AE350">
        <v>0.10199999999999999</v>
      </c>
      <c r="AF350">
        <v>0.35799999999999998</v>
      </c>
      <c r="AG350">
        <v>-365</v>
      </c>
      <c r="AH350">
        <v>-2</v>
      </c>
      <c r="AI350">
        <v>0.23</v>
      </c>
      <c r="AJ350">
        <v>0.379</v>
      </c>
      <c r="AK350">
        <v>-1080</v>
      </c>
      <c r="AL350">
        <v>30</v>
      </c>
      <c r="AM350" t="s">
        <v>44</v>
      </c>
      <c r="AN350">
        <v>8.1</v>
      </c>
      <c r="AO350" t="s">
        <v>100</v>
      </c>
      <c r="AP350">
        <v>1</v>
      </c>
      <c r="AQ350">
        <v>89</v>
      </c>
    </row>
    <row r="351" spans="1:43" x14ac:dyDescent="0.2">
      <c r="A351" t="s">
        <v>77</v>
      </c>
      <c r="B351" t="s">
        <v>78</v>
      </c>
      <c r="C351">
        <v>114.19</v>
      </c>
      <c r="D351" t="s">
        <v>44</v>
      </c>
      <c r="G351" t="s">
        <v>44</v>
      </c>
      <c r="H351">
        <v>2</v>
      </c>
      <c r="I351" t="s">
        <v>45</v>
      </c>
      <c r="J351" t="s">
        <v>46</v>
      </c>
      <c r="K351">
        <v>265.5</v>
      </c>
      <c r="L351">
        <v>0.25</v>
      </c>
      <c r="M351" t="s">
        <v>47</v>
      </c>
      <c r="N351" t="s">
        <v>79</v>
      </c>
      <c r="O351">
        <v>0.1</v>
      </c>
      <c r="P351" t="s">
        <v>44</v>
      </c>
      <c r="Q351" t="s">
        <v>44</v>
      </c>
      <c r="R351">
        <v>2.25</v>
      </c>
      <c r="S351" s="5">
        <f t="shared" si="5"/>
        <v>18.600000000000001</v>
      </c>
      <c r="T351" t="s">
        <v>44</v>
      </c>
      <c r="U351" t="s">
        <v>44</v>
      </c>
      <c r="V351" t="s">
        <v>48</v>
      </c>
      <c r="W351" t="s">
        <v>44</v>
      </c>
      <c r="X351">
        <v>5</v>
      </c>
      <c r="Y351">
        <v>80</v>
      </c>
      <c r="Z351">
        <v>6</v>
      </c>
      <c r="AA351">
        <v>2000</v>
      </c>
      <c r="AB351" t="s">
        <v>49</v>
      </c>
      <c r="AC351" t="s">
        <v>50</v>
      </c>
      <c r="AD351">
        <v>1</v>
      </c>
      <c r="AE351">
        <v>0.10199999999999999</v>
      </c>
      <c r="AF351">
        <v>0.35799999999999998</v>
      </c>
      <c r="AG351">
        <v>-365</v>
      </c>
      <c r="AH351">
        <v>-2</v>
      </c>
      <c r="AI351">
        <v>0.23</v>
      </c>
      <c r="AJ351">
        <v>0.379</v>
      </c>
      <c r="AK351">
        <v>-1080</v>
      </c>
      <c r="AL351">
        <v>15</v>
      </c>
      <c r="AM351" t="s">
        <v>44</v>
      </c>
      <c r="AN351">
        <v>8.1</v>
      </c>
      <c r="AO351" t="s">
        <v>80</v>
      </c>
      <c r="AP351">
        <v>1</v>
      </c>
      <c r="AQ351">
        <v>90</v>
      </c>
    </row>
    <row r="352" spans="1:43" x14ac:dyDescent="0.2">
      <c r="A352" t="s">
        <v>67</v>
      </c>
      <c r="B352" t="s">
        <v>68</v>
      </c>
      <c r="C352">
        <v>210.27</v>
      </c>
      <c r="D352" t="s">
        <v>44</v>
      </c>
      <c r="G352" t="s">
        <v>44</v>
      </c>
      <c r="H352">
        <v>4</v>
      </c>
      <c r="I352" t="s">
        <v>45</v>
      </c>
      <c r="J352" t="s">
        <v>46</v>
      </c>
      <c r="K352">
        <v>265.5</v>
      </c>
      <c r="L352">
        <v>0.2</v>
      </c>
      <c r="M352" t="s">
        <v>47</v>
      </c>
      <c r="N352" t="s">
        <v>61</v>
      </c>
      <c r="O352">
        <v>0.1</v>
      </c>
      <c r="P352" t="s">
        <v>44</v>
      </c>
      <c r="Q352" t="s">
        <v>44</v>
      </c>
      <c r="R352">
        <v>4.2</v>
      </c>
      <c r="S352" s="5">
        <f t="shared" si="5"/>
        <v>25.25</v>
      </c>
      <c r="T352" t="s">
        <v>44</v>
      </c>
      <c r="U352" t="s">
        <v>44</v>
      </c>
      <c r="V352" t="s">
        <v>48</v>
      </c>
      <c r="W352" t="s">
        <v>44</v>
      </c>
      <c r="X352">
        <v>15</v>
      </c>
      <c r="Y352">
        <v>80</v>
      </c>
      <c r="Z352">
        <v>4</v>
      </c>
      <c r="AA352">
        <v>2000</v>
      </c>
      <c r="AB352" t="s">
        <v>69</v>
      </c>
      <c r="AC352" t="s">
        <v>50</v>
      </c>
      <c r="AD352">
        <v>2</v>
      </c>
      <c r="AE352">
        <v>7.1999999999999995E-2</v>
      </c>
      <c r="AF352">
        <v>0.42799999999999999</v>
      </c>
      <c r="AG352">
        <v>-1830</v>
      </c>
      <c r="AH352">
        <v>-2</v>
      </c>
      <c r="AI352">
        <v>0.23</v>
      </c>
      <c r="AJ352">
        <v>0.379</v>
      </c>
      <c r="AK352">
        <v>-1080</v>
      </c>
      <c r="AL352">
        <v>180</v>
      </c>
      <c r="AM352" t="s">
        <v>44</v>
      </c>
      <c r="AN352">
        <v>8.1999999999999993</v>
      </c>
      <c r="AO352" t="s">
        <v>70</v>
      </c>
      <c r="AP352">
        <v>1</v>
      </c>
      <c r="AQ352">
        <v>87</v>
      </c>
    </row>
    <row r="353" spans="1:43" x14ac:dyDescent="0.2">
      <c r="A353" t="s">
        <v>42</v>
      </c>
      <c r="B353" t="s">
        <v>43</v>
      </c>
      <c r="C353">
        <v>86.14</v>
      </c>
      <c r="D353" t="s">
        <v>44</v>
      </c>
      <c r="G353" t="s">
        <v>44</v>
      </c>
      <c r="H353">
        <v>0.2</v>
      </c>
      <c r="I353" t="s">
        <v>45</v>
      </c>
      <c r="J353" t="s">
        <v>46</v>
      </c>
      <c r="K353">
        <v>265.5</v>
      </c>
      <c r="L353">
        <v>0.1</v>
      </c>
      <c r="M353" t="s">
        <v>47</v>
      </c>
      <c r="N353" t="s">
        <v>44</v>
      </c>
      <c r="O353" t="s">
        <v>44</v>
      </c>
      <c r="P353" t="s">
        <v>44</v>
      </c>
      <c r="Q353" t="s">
        <v>44</v>
      </c>
      <c r="R353">
        <v>0.3</v>
      </c>
      <c r="S353" s="5">
        <f t="shared" si="5"/>
        <v>6.16</v>
      </c>
      <c r="T353" t="s">
        <v>44</v>
      </c>
      <c r="U353" t="s">
        <v>44</v>
      </c>
      <c r="V353" t="s">
        <v>48</v>
      </c>
      <c r="W353" t="s">
        <v>44</v>
      </c>
      <c r="X353">
        <v>10</v>
      </c>
      <c r="Y353">
        <v>100</v>
      </c>
      <c r="Z353">
        <v>10.3</v>
      </c>
      <c r="AA353">
        <v>1000</v>
      </c>
      <c r="AB353" t="s">
        <v>49</v>
      </c>
      <c r="AC353" t="s">
        <v>52</v>
      </c>
      <c r="AD353">
        <v>1</v>
      </c>
      <c r="AE353">
        <v>0.10199999999999999</v>
      </c>
      <c r="AF353">
        <v>0.35799999999999998</v>
      </c>
      <c r="AG353">
        <v>-365</v>
      </c>
      <c r="AH353">
        <v>-1</v>
      </c>
      <c r="AI353">
        <v>0.18099999999999999</v>
      </c>
      <c r="AJ353">
        <v>0.33200000000000002</v>
      </c>
      <c r="AK353">
        <v>-340</v>
      </c>
      <c r="AL353">
        <v>45</v>
      </c>
      <c r="AM353" t="s">
        <v>44</v>
      </c>
      <c r="AN353">
        <v>8.3000000000000007</v>
      </c>
      <c r="AO353" t="s">
        <v>101</v>
      </c>
      <c r="AP353">
        <v>1</v>
      </c>
      <c r="AQ353">
        <v>83</v>
      </c>
    </row>
    <row r="354" spans="1:43" x14ac:dyDescent="0.2">
      <c r="A354" t="s">
        <v>42</v>
      </c>
      <c r="B354" t="s">
        <v>43</v>
      </c>
      <c r="C354">
        <v>86.14</v>
      </c>
      <c r="D354" t="s">
        <v>44</v>
      </c>
      <c r="G354" t="s">
        <v>44</v>
      </c>
      <c r="H354">
        <v>0.25</v>
      </c>
      <c r="I354" t="s">
        <v>45</v>
      </c>
      <c r="J354" t="s">
        <v>46</v>
      </c>
      <c r="K354">
        <v>265.5</v>
      </c>
      <c r="L354">
        <v>0.30399999999999999</v>
      </c>
      <c r="M354" t="s">
        <v>47</v>
      </c>
      <c r="N354" t="s">
        <v>44</v>
      </c>
      <c r="O354" t="s">
        <v>44</v>
      </c>
      <c r="P354" t="s">
        <v>44</v>
      </c>
      <c r="Q354" t="s">
        <v>44</v>
      </c>
      <c r="R354">
        <v>0.55400000000000005</v>
      </c>
      <c r="S354" s="5">
        <f t="shared" si="5"/>
        <v>2.5299999999999998</v>
      </c>
      <c r="T354" t="s">
        <v>44</v>
      </c>
      <c r="U354" t="s">
        <v>44</v>
      </c>
      <c r="V354" t="s">
        <v>48</v>
      </c>
      <c r="W354" t="s">
        <v>44</v>
      </c>
      <c r="X354">
        <v>30</v>
      </c>
      <c r="Y354">
        <v>60</v>
      </c>
      <c r="Z354">
        <v>4</v>
      </c>
      <c r="AA354">
        <v>1000</v>
      </c>
      <c r="AB354" t="s">
        <v>86</v>
      </c>
      <c r="AC354" t="s">
        <v>52</v>
      </c>
      <c r="AD354">
        <v>2</v>
      </c>
      <c r="AE354">
        <v>0.1</v>
      </c>
      <c r="AF354">
        <v>0.41199999999999998</v>
      </c>
      <c r="AG354">
        <v>-1505</v>
      </c>
      <c r="AH354">
        <v>-1</v>
      </c>
      <c r="AI354">
        <v>0.18099999999999999</v>
      </c>
      <c r="AJ354">
        <v>0.33200000000000002</v>
      </c>
      <c r="AK354">
        <v>-340</v>
      </c>
      <c r="AL354">
        <v>30</v>
      </c>
      <c r="AM354" t="s">
        <v>44</v>
      </c>
      <c r="AN354">
        <v>8.3000000000000007</v>
      </c>
      <c r="AO354" t="s">
        <v>88</v>
      </c>
      <c r="AP354">
        <v>1</v>
      </c>
      <c r="AQ354">
        <v>84</v>
      </c>
    </row>
    <row r="355" spans="1:43" x14ac:dyDescent="0.2">
      <c r="A355" t="s">
        <v>42</v>
      </c>
      <c r="B355" t="s">
        <v>43</v>
      </c>
      <c r="C355">
        <v>86.14</v>
      </c>
      <c r="D355" t="s">
        <v>44</v>
      </c>
      <c r="G355" t="s">
        <v>44</v>
      </c>
      <c r="H355">
        <v>0.25</v>
      </c>
      <c r="I355" t="s">
        <v>45</v>
      </c>
      <c r="J355" t="s">
        <v>46</v>
      </c>
      <c r="K355">
        <v>265.5</v>
      </c>
      <c r="L355">
        <v>0.30399999999999999</v>
      </c>
      <c r="M355" t="s">
        <v>47</v>
      </c>
      <c r="N355" t="s">
        <v>44</v>
      </c>
      <c r="O355" t="s">
        <v>44</v>
      </c>
      <c r="P355" t="s">
        <v>44</v>
      </c>
      <c r="Q355" t="s">
        <v>44</v>
      </c>
      <c r="R355">
        <v>0.55400000000000005</v>
      </c>
      <c r="S355" s="5">
        <f t="shared" si="5"/>
        <v>2.5299999999999998</v>
      </c>
      <c r="T355" t="s">
        <v>44</v>
      </c>
      <c r="U355" t="s">
        <v>44</v>
      </c>
      <c r="V355" t="s">
        <v>48</v>
      </c>
      <c r="W355" t="s">
        <v>44</v>
      </c>
      <c r="X355">
        <v>30</v>
      </c>
      <c r="Y355">
        <v>60</v>
      </c>
      <c r="Z355">
        <v>4</v>
      </c>
      <c r="AA355">
        <v>1000</v>
      </c>
      <c r="AB355" t="s">
        <v>49</v>
      </c>
      <c r="AC355" t="s">
        <v>52</v>
      </c>
      <c r="AD355">
        <v>1</v>
      </c>
      <c r="AE355">
        <v>0.10199999999999999</v>
      </c>
      <c r="AF355">
        <v>0.35799999999999998</v>
      </c>
      <c r="AG355">
        <v>-365</v>
      </c>
      <c r="AH355">
        <v>-1</v>
      </c>
      <c r="AI355">
        <v>0.18099999999999999</v>
      </c>
      <c r="AJ355">
        <v>0.33200000000000002</v>
      </c>
      <c r="AK355">
        <v>-340</v>
      </c>
      <c r="AL355">
        <v>30</v>
      </c>
      <c r="AM355" t="s">
        <v>44</v>
      </c>
      <c r="AN355">
        <v>8.3000000000000007</v>
      </c>
      <c r="AO355" t="s">
        <v>88</v>
      </c>
      <c r="AP355">
        <v>1</v>
      </c>
      <c r="AQ355">
        <v>85</v>
      </c>
    </row>
    <row r="356" spans="1:43" x14ac:dyDescent="0.2">
      <c r="A356" t="s">
        <v>77</v>
      </c>
      <c r="B356" t="s">
        <v>78</v>
      </c>
      <c r="C356">
        <v>114.19</v>
      </c>
      <c r="D356" t="s">
        <v>44</v>
      </c>
      <c r="G356" t="s">
        <v>44</v>
      </c>
      <c r="H356">
        <v>2</v>
      </c>
      <c r="I356" t="s">
        <v>45</v>
      </c>
      <c r="J356" t="s">
        <v>46</v>
      </c>
      <c r="K356">
        <v>265.5</v>
      </c>
      <c r="L356">
        <v>0.25</v>
      </c>
      <c r="M356" t="s">
        <v>47</v>
      </c>
      <c r="N356" t="s">
        <v>79</v>
      </c>
      <c r="O356">
        <v>0.2</v>
      </c>
      <c r="P356" t="s">
        <v>44</v>
      </c>
      <c r="Q356" t="s">
        <v>44</v>
      </c>
      <c r="R356">
        <v>2.25</v>
      </c>
      <c r="S356" s="5">
        <f t="shared" si="5"/>
        <v>18.600000000000001</v>
      </c>
      <c r="T356" t="s">
        <v>44</v>
      </c>
      <c r="U356" t="s">
        <v>44</v>
      </c>
      <c r="V356" t="s">
        <v>48</v>
      </c>
      <c r="W356" t="s">
        <v>44</v>
      </c>
      <c r="X356">
        <v>5</v>
      </c>
      <c r="Y356">
        <v>80</v>
      </c>
      <c r="Z356">
        <v>6</v>
      </c>
      <c r="AA356">
        <v>2000</v>
      </c>
      <c r="AB356" t="s">
        <v>49</v>
      </c>
      <c r="AC356" t="s">
        <v>50</v>
      </c>
      <c r="AD356">
        <v>1</v>
      </c>
      <c r="AE356">
        <v>0.10199999999999999</v>
      </c>
      <c r="AF356">
        <v>0.35799999999999998</v>
      </c>
      <c r="AG356">
        <v>-365</v>
      </c>
      <c r="AH356">
        <v>-2</v>
      </c>
      <c r="AI356">
        <v>0.23</v>
      </c>
      <c r="AJ356">
        <v>0.379</v>
      </c>
      <c r="AK356">
        <v>-1080</v>
      </c>
      <c r="AL356">
        <v>15</v>
      </c>
      <c r="AM356" t="s">
        <v>44</v>
      </c>
      <c r="AN356">
        <v>8.3000000000000007</v>
      </c>
      <c r="AO356" t="s">
        <v>80</v>
      </c>
      <c r="AP356">
        <v>1</v>
      </c>
      <c r="AQ356">
        <v>86</v>
      </c>
    </row>
    <row r="357" spans="1:43" x14ac:dyDescent="0.2">
      <c r="A357" t="s">
        <v>42</v>
      </c>
      <c r="B357" t="s">
        <v>43</v>
      </c>
      <c r="C357">
        <v>86.14</v>
      </c>
      <c r="D357" t="s">
        <v>44</v>
      </c>
      <c r="G357" t="s">
        <v>44</v>
      </c>
      <c r="H357">
        <v>2</v>
      </c>
      <c r="I357" t="s">
        <v>45</v>
      </c>
      <c r="J357" t="s">
        <v>46</v>
      </c>
      <c r="K357">
        <v>265.5</v>
      </c>
      <c r="L357">
        <v>0.22800000000000001</v>
      </c>
      <c r="M357" t="s">
        <v>47</v>
      </c>
      <c r="N357" t="s">
        <v>81</v>
      </c>
      <c r="O357">
        <v>0.1</v>
      </c>
      <c r="P357" t="s">
        <v>44</v>
      </c>
      <c r="Q357" t="s">
        <v>44</v>
      </c>
      <c r="R357">
        <v>2.2280000000000002</v>
      </c>
      <c r="S357" s="5">
        <f t="shared" si="5"/>
        <v>27.04</v>
      </c>
      <c r="T357" t="s">
        <v>44</v>
      </c>
      <c r="U357" t="s">
        <v>44</v>
      </c>
      <c r="V357" t="s">
        <v>48</v>
      </c>
      <c r="W357" t="s">
        <v>44</v>
      </c>
      <c r="X357">
        <v>5</v>
      </c>
      <c r="Y357">
        <v>80</v>
      </c>
      <c r="Z357">
        <v>6</v>
      </c>
      <c r="AA357">
        <v>2000</v>
      </c>
      <c r="AB357" t="s">
        <v>49</v>
      </c>
      <c r="AC357" t="s">
        <v>50</v>
      </c>
      <c r="AD357">
        <v>1</v>
      </c>
      <c r="AE357">
        <v>0.10199999999999999</v>
      </c>
      <c r="AF357">
        <v>0.35799999999999998</v>
      </c>
      <c r="AG357">
        <v>-365</v>
      </c>
      <c r="AH357">
        <v>-2</v>
      </c>
      <c r="AI357">
        <v>0.23</v>
      </c>
      <c r="AJ357">
        <v>0.379</v>
      </c>
      <c r="AK357">
        <v>-1080</v>
      </c>
      <c r="AL357">
        <v>15</v>
      </c>
      <c r="AM357" t="s">
        <v>44</v>
      </c>
      <c r="AN357">
        <v>8.4</v>
      </c>
      <c r="AO357" t="s">
        <v>82</v>
      </c>
      <c r="AP357">
        <v>1</v>
      </c>
      <c r="AQ357">
        <v>82</v>
      </c>
    </row>
    <row r="358" spans="1:43" x14ac:dyDescent="0.2">
      <c r="A358" t="s">
        <v>42</v>
      </c>
      <c r="B358" t="s">
        <v>43</v>
      </c>
      <c r="C358">
        <v>86.14</v>
      </c>
      <c r="D358" t="s">
        <v>44</v>
      </c>
      <c r="G358" t="s">
        <v>44</v>
      </c>
      <c r="H358">
        <v>1</v>
      </c>
      <c r="I358" t="s">
        <v>45</v>
      </c>
      <c r="J358" t="s">
        <v>46</v>
      </c>
      <c r="K358">
        <v>265.5</v>
      </c>
      <c r="L358">
        <v>0.4</v>
      </c>
      <c r="M358" t="s">
        <v>47</v>
      </c>
      <c r="N358" t="s">
        <v>44</v>
      </c>
      <c r="O358" t="s">
        <v>44</v>
      </c>
      <c r="P358" t="s">
        <v>44</v>
      </c>
      <c r="Q358" t="s">
        <v>44</v>
      </c>
      <c r="R358">
        <v>1.4</v>
      </c>
      <c r="S358" s="5">
        <f t="shared" si="5"/>
        <v>7.71</v>
      </c>
      <c r="T358">
        <v>11</v>
      </c>
      <c r="U358" t="s">
        <v>44</v>
      </c>
      <c r="V358" t="s">
        <v>48</v>
      </c>
      <c r="W358" t="s">
        <v>44</v>
      </c>
      <c r="X358">
        <v>5</v>
      </c>
      <c r="Y358">
        <v>70</v>
      </c>
      <c r="Z358">
        <v>6</v>
      </c>
      <c r="AA358">
        <v>2000</v>
      </c>
      <c r="AB358" t="s">
        <v>49</v>
      </c>
      <c r="AC358" t="s">
        <v>52</v>
      </c>
      <c r="AD358">
        <v>1</v>
      </c>
      <c r="AE358">
        <v>0.10199999999999999</v>
      </c>
      <c r="AF358">
        <v>0.35799999999999998</v>
      </c>
      <c r="AG358">
        <v>-365</v>
      </c>
      <c r="AH358">
        <v>-1</v>
      </c>
      <c r="AI358">
        <v>0.18099999999999999</v>
      </c>
      <c r="AJ358">
        <v>0.33200000000000002</v>
      </c>
      <c r="AK358">
        <v>-340</v>
      </c>
      <c r="AL358">
        <v>120</v>
      </c>
      <c r="AM358" t="s">
        <v>44</v>
      </c>
      <c r="AN358">
        <v>8.5</v>
      </c>
      <c r="AO358" t="s">
        <v>103</v>
      </c>
      <c r="AP358">
        <v>1</v>
      </c>
      <c r="AQ358">
        <v>77</v>
      </c>
    </row>
    <row r="359" spans="1:43" x14ac:dyDescent="0.2">
      <c r="A359" t="s">
        <v>42</v>
      </c>
      <c r="B359" t="s">
        <v>43</v>
      </c>
      <c r="C359">
        <v>86.14</v>
      </c>
      <c r="D359" t="s">
        <v>44</v>
      </c>
      <c r="G359" t="s">
        <v>44</v>
      </c>
      <c r="H359">
        <v>0.25</v>
      </c>
      <c r="I359" t="s">
        <v>45</v>
      </c>
      <c r="J359" t="s">
        <v>46</v>
      </c>
      <c r="K359">
        <v>265.5</v>
      </c>
      <c r="L359">
        <v>0.30399999999999999</v>
      </c>
      <c r="M359" t="s">
        <v>47</v>
      </c>
      <c r="N359" t="s">
        <v>61</v>
      </c>
      <c r="O359">
        <v>0.5</v>
      </c>
      <c r="P359" t="s">
        <v>44</v>
      </c>
      <c r="Q359" t="s">
        <v>44</v>
      </c>
      <c r="R359">
        <v>0.55400000000000005</v>
      </c>
      <c r="S359" s="5">
        <f t="shared" si="5"/>
        <v>2.5299999999999998</v>
      </c>
      <c r="T359" t="s">
        <v>44</v>
      </c>
      <c r="U359" t="s">
        <v>44</v>
      </c>
      <c r="V359" t="s">
        <v>48</v>
      </c>
      <c r="W359" t="s">
        <v>44</v>
      </c>
      <c r="X359">
        <v>30</v>
      </c>
      <c r="Y359">
        <v>60</v>
      </c>
      <c r="Z359">
        <v>4</v>
      </c>
      <c r="AA359">
        <v>1000</v>
      </c>
      <c r="AB359" t="s">
        <v>49</v>
      </c>
      <c r="AC359" t="s">
        <v>50</v>
      </c>
      <c r="AD359">
        <v>1</v>
      </c>
      <c r="AE359">
        <v>0.10199999999999999</v>
      </c>
      <c r="AF359">
        <v>0.35799999999999998</v>
      </c>
      <c r="AG359">
        <v>-365</v>
      </c>
      <c r="AH359">
        <v>-2</v>
      </c>
      <c r="AI359">
        <v>0.23</v>
      </c>
      <c r="AJ359">
        <v>0.379</v>
      </c>
      <c r="AK359">
        <v>-1080</v>
      </c>
      <c r="AL359">
        <v>30</v>
      </c>
      <c r="AM359" t="s">
        <v>44</v>
      </c>
      <c r="AN359">
        <v>8.5</v>
      </c>
      <c r="AO359" t="s">
        <v>88</v>
      </c>
      <c r="AP359">
        <v>1</v>
      </c>
      <c r="AQ359">
        <v>78</v>
      </c>
    </row>
    <row r="360" spans="1:43" x14ac:dyDescent="0.2">
      <c r="A360" t="s">
        <v>42</v>
      </c>
      <c r="B360" t="s">
        <v>43</v>
      </c>
      <c r="C360">
        <v>86.14</v>
      </c>
      <c r="D360" t="s">
        <v>44</v>
      </c>
      <c r="G360" t="s">
        <v>44</v>
      </c>
      <c r="H360">
        <v>0.25</v>
      </c>
      <c r="I360" t="s">
        <v>45</v>
      </c>
      <c r="J360" t="s">
        <v>46</v>
      </c>
      <c r="K360">
        <v>265.5</v>
      </c>
      <c r="L360">
        <v>0.30399999999999999</v>
      </c>
      <c r="M360" t="s">
        <v>47</v>
      </c>
      <c r="N360" t="s">
        <v>61</v>
      </c>
      <c r="O360">
        <v>1</v>
      </c>
      <c r="P360" t="s">
        <v>44</v>
      </c>
      <c r="Q360" t="s">
        <v>44</v>
      </c>
      <c r="R360">
        <v>0.55400000000000005</v>
      </c>
      <c r="S360" s="5">
        <f t="shared" si="5"/>
        <v>2.5299999999999998</v>
      </c>
      <c r="T360" t="s">
        <v>44</v>
      </c>
      <c r="U360" t="s">
        <v>44</v>
      </c>
      <c r="V360" t="s">
        <v>48</v>
      </c>
      <c r="W360" t="s">
        <v>44</v>
      </c>
      <c r="X360">
        <v>30</v>
      </c>
      <c r="Y360">
        <v>60</v>
      </c>
      <c r="Z360">
        <v>4</v>
      </c>
      <c r="AA360">
        <v>1000</v>
      </c>
      <c r="AB360" t="s">
        <v>49</v>
      </c>
      <c r="AC360" t="s">
        <v>50</v>
      </c>
      <c r="AD360">
        <v>1</v>
      </c>
      <c r="AE360">
        <v>0.10199999999999999</v>
      </c>
      <c r="AF360">
        <v>0.35799999999999998</v>
      </c>
      <c r="AG360">
        <v>-365</v>
      </c>
      <c r="AH360">
        <v>-2</v>
      </c>
      <c r="AI360">
        <v>0.23</v>
      </c>
      <c r="AJ360">
        <v>0.379</v>
      </c>
      <c r="AK360">
        <v>-1080</v>
      </c>
      <c r="AL360">
        <v>30</v>
      </c>
      <c r="AM360" t="s">
        <v>44</v>
      </c>
      <c r="AN360">
        <v>8.5</v>
      </c>
      <c r="AO360" t="s">
        <v>88</v>
      </c>
      <c r="AP360">
        <v>1</v>
      </c>
      <c r="AQ360">
        <v>79</v>
      </c>
    </row>
    <row r="361" spans="1:43" x14ac:dyDescent="0.2">
      <c r="A361" t="s">
        <v>42</v>
      </c>
      <c r="B361" t="s">
        <v>43</v>
      </c>
      <c r="C361">
        <v>86.14</v>
      </c>
      <c r="D361" t="s">
        <v>44</v>
      </c>
      <c r="G361" t="s">
        <v>44</v>
      </c>
      <c r="H361">
        <v>1</v>
      </c>
      <c r="I361" t="s">
        <v>45</v>
      </c>
      <c r="J361" t="s">
        <v>46</v>
      </c>
      <c r="K361">
        <v>265.5</v>
      </c>
      <c r="L361">
        <v>0.2</v>
      </c>
      <c r="M361" t="s">
        <v>47</v>
      </c>
      <c r="N361" t="s">
        <v>44</v>
      </c>
      <c r="O361" t="s">
        <v>44</v>
      </c>
      <c r="P361" t="s">
        <v>44</v>
      </c>
      <c r="Q361" t="s">
        <v>44</v>
      </c>
      <c r="R361">
        <v>1.2</v>
      </c>
      <c r="S361" s="5">
        <f t="shared" si="5"/>
        <v>15.41</v>
      </c>
      <c r="T361">
        <v>11</v>
      </c>
      <c r="U361" t="s">
        <v>44</v>
      </c>
      <c r="V361" t="s">
        <v>48</v>
      </c>
      <c r="W361" t="s">
        <v>44</v>
      </c>
      <c r="X361">
        <v>10</v>
      </c>
      <c r="Y361">
        <v>60</v>
      </c>
      <c r="Z361">
        <v>6</v>
      </c>
      <c r="AA361">
        <v>2000</v>
      </c>
      <c r="AB361" t="s">
        <v>69</v>
      </c>
      <c r="AC361" t="s">
        <v>52</v>
      </c>
      <c r="AD361">
        <v>2</v>
      </c>
      <c r="AE361">
        <v>7.1999999999999995E-2</v>
      </c>
      <c r="AF361">
        <v>0.42799999999999999</v>
      </c>
      <c r="AG361">
        <v>-1830</v>
      </c>
      <c r="AH361">
        <v>-1</v>
      </c>
      <c r="AI361">
        <v>0.18099999999999999</v>
      </c>
      <c r="AJ361">
        <v>0.33200000000000002</v>
      </c>
      <c r="AK361">
        <v>-340</v>
      </c>
      <c r="AL361">
        <v>120</v>
      </c>
      <c r="AM361" t="s">
        <v>44</v>
      </c>
      <c r="AN361">
        <v>8.5</v>
      </c>
      <c r="AO361" t="s">
        <v>102</v>
      </c>
      <c r="AP361">
        <v>1</v>
      </c>
      <c r="AQ361">
        <v>80</v>
      </c>
    </row>
    <row r="362" spans="1:43" x14ac:dyDescent="0.2">
      <c r="A362" t="s">
        <v>42</v>
      </c>
      <c r="B362" t="s">
        <v>43</v>
      </c>
      <c r="C362">
        <v>86.14</v>
      </c>
      <c r="D362" t="s">
        <v>44</v>
      </c>
      <c r="G362" t="s">
        <v>44</v>
      </c>
      <c r="H362">
        <v>2</v>
      </c>
      <c r="I362" t="s">
        <v>45</v>
      </c>
      <c r="J362" t="s">
        <v>46</v>
      </c>
      <c r="K362">
        <v>265.5</v>
      </c>
      <c r="L362">
        <v>0.191</v>
      </c>
      <c r="M362" t="s">
        <v>47</v>
      </c>
      <c r="N362" t="s">
        <v>44</v>
      </c>
      <c r="O362" t="s">
        <v>44</v>
      </c>
      <c r="P362" t="s">
        <v>44</v>
      </c>
      <c r="Q362" t="s">
        <v>44</v>
      </c>
      <c r="R362">
        <v>2.1909999999999998</v>
      </c>
      <c r="S362" s="5">
        <f t="shared" si="5"/>
        <v>32.270000000000003</v>
      </c>
      <c r="T362" t="s">
        <v>44</v>
      </c>
      <c r="U362" t="s">
        <v>44</v>
      </c>
      <c r="V362" t="s">
        <v>48</v>
      </c>
      <c r="W362" t="s">
        <v>44</v>
      </c>
      <c r="X362">
        <v>5</v>
      </c>
      <c r="Y362" t="s">
        <v>44</v>
      </c>
      <c r="Z362">
        <v>5</v>
      </c>
      <c r="AA362">
        <v>1500</v>
      </c>
      <c r="AB362" t="s">
        <v>49</v>
      </c>
      <c r="AC362" t="s">
        <v>50</v>
      </c>
      <c r="AD362">
        <v>1</v>
      </c>
      <c r="AE362">
        <v>0.10199999999999999</v>
      </c>
      <c r="AF362">
        <v>0.35799999999999998</v>
      </c>
      <c r="AG362">
        <v>-365</v>
      </c>
      <c r="AH362">
        <v>-2</v>
      </c>
      <c r="AI362">
        <v>0.23</v>
      </c>
      <c r="AJ362">
        <v>0.379</v>
      </c>
      <c r="AK362">
        <v>-1080</v>
      </c>
      <c r="AL362" t="s">
        <v>44</v>
      </c>
      <c r="AM362" t="s">
        <v>44</v>
      </c>
      <c r="AN362">
        <v>8.5</v>
      </c>
      <c r="AO362" t="s">
        <v>104</v>
      </c>
      <c r="AP362">
        <v>1</v>
      </c>
      <c r="AQ362">
        <v>81</v>
      </c>
    </row>
    <row r="363" spans="1:43" x14ac:dyDescent="0.2">
      <c r="A363" t="s">
        <v>42</v>
      </c>
      <c r="B363" t="s">
        <v>43</v>
      </c>
      <c r="C363">
        <v>86.14</v>
      </c>
      <c r="D363" t="s">
        <v>44</v>
      </c>
      <c r="G363" t="s">
        <v>44</v>
      </c>
      <c r="H363">
        <v>1</v>
      </c>
      <c r="I363" t="s">
        <v>45</v>
      </c>
      <c r="J363" t="s">
        <v>46</v>
      </c>
      <c r="K363">
        <v>265.5</v>
      </c>
      <c r="L363">
        <v>0.22800000000000001</v>
      </c>
      <c r="M363" t="s">
        <v>47</v>
      </c>
      <c r="N363" t="s">
        <v>81</v>
      </c>
      <c r="O363">
        <v>0.1</v>
      </c>
      <c r="P363" t="s">
        <v>44</v>
      </c>
      <c r="Q363" t="s">
        <v>44</v>
      </c>
      <c r="R363">
        <v>1.228</v>
      </c>
      <c r="S363" s="5">
        <f t="shared" si="5"/>
        <v>13.52</v>
      </c>
      <c r="T363" t="s">
        <v>44</v>
      </c>
      <c r="U363" t="s">
        <v>44</v>
      </c>
      <c r="V363" t="s">
        <v>48</v>
      </c>
      <c r="W363" t="s">
        <v>44</v>
      </c>
      <c r="X363">
        <v>5</v>
      </c>
      <c r="Y363">
        <v>80</v>
      </c>
      <c r="Z363">
        <v>6</v>
      </c>
      <c r="AA363">
        <v>2000</v>
      </c>
      <c r="AB363" t="s">
        <v>49</v>
      </c>
      <c r="AC363" t="s">
        <v>50</v>
      </c>
      <c r="AD363">
        <v>1</v>
      </c>
      <c r="AE363">
        <v>0.10199999999999999</v>
      </c>
      <c r="AF363">
        <v>0.35799999999999998</v>
      </c>
      <c r="AG363">
        <v>-365</v>
      </c>
      <c r="AH363">
        <v>-2</v>
      </c>
      <c r="AI363">
        <v>0.23</v>
      </c>
      <c r="AJ363">
        <v>0.379</v>
      </c>
      <c r="AK363">
        <v>-1080</v>
      </c>
      <c r="AL363">
        <v>30</v>
      </c>
      <c r="AM363" t="s">
        <v>44</v>
      </c>
      <c r="AN363">
        <v>8.6</v>
      </c>
      <c r="AO363" t="s">
        <v>82</v>
      </c>
      <c r="AP363">
        <v>1</v>
      </c>
      <c r="AQ363">
        <v>76</v>
      </c>
    </row>
    <row r="364" spans="1:43" x14ac:dyDescent="0.2">
      <c r="A364" t="s">
        <v>42</v>
      </c>
      <c r="B364" t="s">
        <v>43</v>
      </c>
      <c r="C364">
        <v>86.14</v>
      </c>
      <c r="D364" t="s">
        <v>44</v>
      </c>
      <c r="G364" t="s">
        <v>44</v>
      </c>
      <c r="H364">
        <v>1.5</v>
      </c>
      <c r="I364" t="s">
        <v>45</v>
      </c>
      <c r="J364" t="s">
        <v>46</v>
      </c>
      <c r="K364">
        <v>265.5</v>
      </c>
      <c r="L364">
        <v>0.22800000000000001</v>
      </c>
      <c r="M364" t="s">
        <v>47</v>
      </c>
      <c r="N364" t="s">
        <v>81</v>
      </c>
      <c r="O364">
        <v>0.1</v>
      </c>
      <c r="P364" t="s">
        <v>44</v>
      </c>
      <c r="Q364" t="s">
        <v>44</v>
      </c>
      <c r="R364">
        <v>1.728</v>
      </c>
      <c r="S364" s="5">
        <f t="shared" si="5"/>
        <v>20.28</v>
      </c>
      <c r="T364" t="s">
        <v>44</v>
      </c>
      <c r="U364" t="s">
        <v>44</v>
      </c>
      <c r="V364" t="s">
        <v>48</v>
      </c>
      <c r="W364" t="s">
        <v>44</v>
      </c>
      <c r="X364">
        <v>5</v>
      </c>
      <c r="Y364">
        <v>80</v>
      </c>
      <c r="Z364">
        <v>6</v>
      </c>
      <c r="AA364">
        <v>2000</v>
      </c>
      <c r="AB364" t="s">
        <v>49</v>
      </c>
      <c r="AC364" t="s">
        <v>50</v>
      </c>
      <c r="AD364">
        <v>1</v>
      </c>
      <c r="AE364">
        <v>0.10199999999999999</v>
      </c>
      <c r="AF364">
        <v>0.35799999999999998</v>
      </c>
      <c r="AG364">
        <v>-365</v>
      </c>
      <c r="AH364">
        <v>-2</v>
      </c>
      <c r="AI364">
        <v>0.23</v>
      </c>
      <c r="AJ364">
        <v>0.379</v>
      </c>
      <c r="AK364">
        <v>-1080</v>
      </c>
      <c r="AL364">
        <v>15</v>
      </c>
      <c r="AM364" t="s">
        <v>44</v>
      </c>
      <c r="AN364">
        <v>8.6999999999999993</v>
      </c>
      <c r="AO364" t="s">
        <v>82</v>
      </c>
      <c r="AP364">
        <v>1</v>
      </c>
      <c r="AQ364">
        <v>74</v>
      </c>
    </row>
    <row r="365" spans="1:43" x14ac:dyDescent="0.2">
      <c r="A365" t="s">
        <v>96</v>
      </c>
      <c r="B365" t="s">
        <v>97</v>
      </c>
      <c r="C365">
        <v>116.17</v>
      </c>
      <c r="D365" t="s">
        <v>44</v>
      </c>
      <c r="G365" t="s">
        <v>44</v>
      </c>
      <c r="H365">
        <v>2</v>
      </c>
      <c r="I365" t="s">
        <v>45</v>
      </c>
      <c r="J365" t="s">
        <v>46</v>
      </c>
      <c r="K365">
        <v>265.5</v>
      </c>
      <c r="L365">
        <v>0.13</v>
      </c>
      <c r="M365" t="s">
        <v>98</v>
      </c>
      <c r="N365" t="s">
        <v>44</v>
      </c>
      <c r="O365" t="s">
        <v>44</v>
      </c>
      <c r="P365" t="s">
        <v>44</v>
      </c>
      <c r="Q365" t="s">
        <v>44</v>
      </c>
      <c r="R365">
        <v>2.13</v>
      </c>
      <c r="S365" s="5">
        <f t="shared" si="5"/>
        <v>35.159999999999997</v>
      </c>
      <c r="T365" t="s">
        <v>44</v>
      </c>
      <c r="U365" t="s">
        <v>44</v>
      </c>
      <c r="V365" t="s">
        <v>48</v>
      </c>
      <c r="W365" t="s">
        <v>44</v>
      </c>
      <c r="X365" t="s">
        <v>44</v>
      </c>
      <c r="Y365">
        <v>25</v>
      </c>
      <c r="Z365">
        <v>10</v>
      </c>
      <c r="AA365">
        <v>3000</v>
      </c>
      <c r="AB365" t="s">
        <v>69</v>
      </c>
      <c r="AC365" t="s">
        <v>50</v>
      </c>
      <c r="AD365">
        <v>2</v>
      </c>
      <c r="AE365">
        <v>7.1999999999999995E-2</v>
      </c>
      <c r="AF365">
        <v>0.42799999999999999</v>
      </c>
      <c r="AG365">
        <v>-1830</v>
      </c>
      <c r="AH365">
        <v>-2</v>
      </c>
      <c r="AI365">
        <v>0.23</v>
      </c>
      <c r="AJ365">
        <v>0.379</v>
      </c>
      <c r="AK365">
        <v>-1080</v>
      </c>
      <c r="AL365">
        <v>10</v>
      </c>
      <c r="AM365" t="s">
        <v>44</v>
      </c>
      <c r="AN365">
        <v>8.6999999999999993</v>
      </c>
      <c r="AO365" t="s">
        <v>99</v>
      </c>
      <c r="AP365">
        <v>1</v>
      </c>
      <c r="AQ365">
        <v>75</v>
      </c>
    </row>
    <row r="366" spans="1:43" x14ac:dyDescent="0.2">
      <c r="A366" t="s">
        <v>42</v>
      </c>
      <c r="B366" t="s">
        <v>43</v>
      </c>
      <c r="C366">
        <v>86.14</v>
      </c>
      <c r="D366" t="s">
        <v>44</v>
      </c>
      <c r="G366" t="s">
        <v>44</v>
      </c>
      <c r="H366">
        <v>1</v>
      </c>
      <c r="I366" t="s">
        <v>45</v>
      </c>
      <c r="J366" t="s">
        <v>46</v>
      </c>
      <c r="K366">
        <v>265.5</v>
      </c>
      <c r="L366">
        <v>0.22800000000000001</v>
      </c>
      <c r="M366" t="s">
        <v>47</v>
      </c>
      <c r="N366" t="s">
        <v>81</v>
      </c>
      <c r="O366">
        <v>0.05</v>
      </c>
      <c r="P366" t="s">
        <v>44</v>
      </c>
      <c r="Q366" t="s">
        <v>44</v>
      </c>
      <c r="R366">
        <v>1.228</v>
      </c>
      <c r="S366" s="5">
        <f t="shared" si="5"/>
        <v>13.52</v>
      </c>
      <c r="T366" t="s">
        <v>44</v>
      </c>
      <c r="U366" t="s">
        <v>44</v>
      </c>
      <c r="V366" t="s">
        <v>48</v>
      </c>
      <c r="W366" t="s">
        <v>44</v>
      </c>
      <c r="X366">
        <v>5</v>
      </c>
      <c r="Y366">
        <v>80</v>
      </c>
      <c r="Z366">
        <v>6</v>
      </c>
      <c r="AA366">
        <v>2000</v>
      </c>
      <c r="AB366" t="s">
        <v>49</v>
      </c>
      <c r="AC366" t="s">
        <v>50</v>
      </c>
      <c r="AD366">
        <v>1</v>
      </c>
      <c r="AE366">
        <v>0.10199999999999999</v>
      </c>
      <c r="AF366">
        <v>0.35799999999999998</v>
      </c>
      <c r="AG366">
        <v>-365</v>
      </c>
      <c r="AH366">
        <v>-2</v>
      </c>
      <c r="AI366">
        <v>0.23</v>
      </c>
      <c r="AJ366">
        <v>0.379</v>
      </c>
      <c r="AK366">
        <v>-1080</v>
      </c>
      <c r="AL366">
        <v>15</v>
      </c>
      <c r="AM366" t="s">
        <v>44</v>
      </c>
      <c r="AN366">
        <v>8.8000000000000007</v>
      </c>
      <c r="AO366" t="s">
        <v>82</v>
      </c>
      <c r="AP366">
        <v>1</v>
      </c>
      <c r="AQ366">
        <v>70</v>
      </c>
    </row>
    <row r="367" spans="1:43" x14ac:dyDescent="0.2">
      <c r="A367" t="s">
        <v>42</v>
      </c>
      <c r="B367" t="s">
        <v>43</v>
      </c>
      <c r="C367">
        <v>86.14</v>
      </c>
      <c r="D367" t="s">
        <v>44</v>
      </c>
      <c r="G367" t="s">
        <v>44</v>
      </c>
      <c r="H367">
        <v>2</v>
      </c>
      <c r="I367" t="s">
        <v>45</v>
      </c>
      <c r="J367" t="s">
        <v>46</v>
      </c>
      <c r="K367">
        <v>265.5</v>
      </c>
      <c r="L367">
        <v>0.1</v>
      </c>
      <c r="M367" t="s">
        <v>47</v>
      </c>
      <c r="N367" t="s">
        <v>44</v>
      </c>
      <c r="O367" t="s">
        <v>44</v>
      </c>
      <c r="P367" t="s">
        <v>44</v>
      </c>
      <c r="Q367" t="s">
        <v>44</v>
      </c>
      <c r="R367">
        <v>2.1</v>
      </c>
      <c r="S367" s="5">
        <f t="shared" si="5"/>
        <v>61.64</v>
      </c>
      <c r="T367" t="s">
        <v>44</v>
      </c>
      <c r="U367" t="s">
        <v>44</v>
      </c>
      <c r="V367" t="s">
        <v>48</v>
      </c>
      <c r="W367" t="s">
        <v>44</v>
      </c>
      <c r="X367">
        <v>5</v>
      </c>
      <c r="Y367">
        <v>90</v>
      </c>
      <c r="Z367">
        <v>10.3</v>
      </c>
      <c r="AA367">
        <v>1000</v>
      </c>
      <c r="AB367" t="s">
        <v>49</v>
      </c>
      <c r="AC367" t="s">
        <v>52</v>
      </c>
      <c r="AD367">
        <v>1</v>
      </c>
      <c r="AE367">
        <v>0.10199999999999999</v>
      </c>
      <c r="AF367">
        <v>0.35799999999999998</v>
      </c>
      <c r="AG367">
        <v>-365</v>
      </c>
      <c r="AH367">
        <v>-1</v>
      </c>
      <c r="AI367">
        <v>0.18099999999999999</v>
      </c>
      <c r="AJ367">
        <v>0.33200000000000002</v>
      </c>
      <c r="AK367">
        <v>-340</v>
      </c>
      <c r="AL367">
        <v>45</v>
      </c>
      <c r="AM367" t="s">
        <v>44</v>
      </c>
      <c r="AN367">
        <v>8.8000000000000007</v>
      </c>
      <c r="AO367" t="s">
        <v>101</v>
      </c>
      <c r="AP367">
        <v>1</v>
      </c>
      <c r="AQ367">
        <v>71</v>
      </c>
    </row>
    <row r="368" spans="1:43" x14ac:dyDescent="0.2">
      <c r="A368" t="s">
        <v>42</v>
      </c>
      <c r="B368" t="s">
        <v>43</v>
      </c>
      <c r="C368">
        <v>86.14</v>
      </c>
      <c r="D368" t="s">
        <v>44</v>
      </c>
      <c r="G368" t="s">
        <v>44</v>
      </c>
      <c r="H368">
        <v>1.5</v>
      </c>
      <c r="I368" t="s">
        <v>45</v>
      </c>
      <c r="J368" t="s">
        <v>46</v>
      </c>
      <c r="K368">
        <v>265.5</v>
      </c>
      <c r="L368">
        <v>0.15</v>
      </c>
      <c r="M368" t="s">
        <v>47</v>
      </c>
      <c r="N368" t="s">
        <v>44</v>
      </c>
      <c r="O368" t="s">
        <v>44</v>
      </c>
      <c r="P368" t="s">
        <v>44</v>
      </c>
      <c r="Q368" t="s">
        <v>44</v>
      </c>
      <c r="R368">
        <v>1.65</v>
      </c>
      <c r="S368" s="5">
        <f t="shared" si="5"/>
        <v>30.82</v>
      </c>
      <c r="T368" t="s">
        <v>44</v>
      </c>
      <c r="U368" t="s">
        <v>44</v>
      </c>
      <c r="V368" t="s">
        <v>48</v>
      </c>
      <c r="W368" t="s">
        <v>44</v>
      </c>
      <c r="X368">
        <v>8</v>
      </c>
      <c r="Y368">
        <v>70</v>
      </c>
      <c r="Z368">
        <v>6</v>
      </c>
      <c r="AA368">
        <v>2000</v>
      </c>
      <c r="AB368" t="s">
        <v>49</v>
      </c>
      <c r="AC368" t="s">
        <v>50</v>
      </c>
      <c r="AD368">
        <v>1</v>
      </c>
      <c r="AE368">
        <v>0.10199999999999999</v>
      </c>
      <c r="AF368">
        <v>0.35799999999999998</v>
      </c>
      <c r="AG368">
        <v>-365</v>
      </c>
      <c r="AH368">
        <v>-2</v>
      </c>
      <c r="AI368">
        <v>0.23</v>
      </c>
      <c r="AJ368">
        <v>0.379</v>
      </c>
      <c r="AK368">
        <v>-1080</v>
      </c>
      <c r="AL368">
        <v>20</v>
      </c>
      <c r="AM368" t="s">
        <v>44</v>
      </c>
      <c r="AN368">
        <v>8.8000000000000007</v>
      </c>
      <c r="AO368" t="s">
        <v>100</v>
      </c>
      <c r="AP368">
        <v>1</v>
      </c>
      <c r="AQ368">
        <v>72</v>
      </c>
    </row>
    <row r="369" spans="1:43" x14ac:dyDescent="0.2">
      <c r="A369" t="s">
        <v>42</v>
      </c>
      <c r="B369" t="s">
        <v>43</v>
      </c>
      <c r="C369">
        <v>86.14</v>
      </c>
      <c r="D369" t="s">
        <v>44</v>
      </c>
      <c r="G369" t="s">
        <v>44</v>
      </c>
      <c r="H369">
        <v>0.25</v>
      </c>
      <c r="I369" t="s">
        <v>45</v>
      </c>
      <c r="J369" t="s">
        <v>46</v>
      </c>
      <c r="K369">
        <v>265.5</v>
      </c>
      <c r="L369">
        <v>0.30399999999999999</v>
      </c>
      <c r="M369" t="s">
        <v>47</v>
      </c>
      <c r="N369" t="s">
        <v>61</v>
      </c>
      <c r="O369">
        <v>1.5</v>
      </c>
      <c r="P369" t="s">
        <v>44</v>
      </c>
      <c r="Q369" t="s">
        <v>44</v>
      </c>
      <c r="R369">
        <v>0.55400000000000005</v>
      </c>
      <c r="S369" s="5">
        <f t="shared" si="5"/>
        <v>2.5299999999999998</v>
      </c>
      <c r="T369" t="s">
        <v>44</v>
      </c>
      <c r="U369" t="s">
        <v>44</v>
      </c>
      <c r="V369" t="s">
        <v>48</v>
      </c>
      <c r="W369" t="s">
        <v>44</v>
      </c>
      <c r="X369">
        <v>30</v>
      </c>
      <c r="Y369">
        <v>60</v>
      </c>
      <c r="Z369">
        <v>4</v>
      </c>
      <c r="AA369">
        <v>1000</v>
      </c>
      <c r="AB369" t="s">
        <v>49</v>
      </c>
      <c r="AC369" t="s">
        <v>50</v>
      </c>
      <c r="AD369">
        <v>1</v>
      </c>
      <c r="AE369">
        <v>0.10199999999999999</v>
      </c>
      <c r="AF369">
        <v>0.35799999999999998</v>
      </c>
      <c r="AG369">
        <v>-365</v>
      </c>
      <c r="AH369">
        <v>-2</v>
      </c>
      <c r="AI369">
        <v>0.23</v>
      </c>
      <c r="AJ369">
        <v>0.379</v>
      </c>
      <c r="AK369">
        <v>-1080</v>
      </c>
      <c r="AL369">
        <v>30</v>
      </c>
      <c r="AM369" t="s">
        <v>44</v>
      </c>
      <c r="AN369">
        <v>8.8000000000000007</v>
      </c>
      <c r="AO369" t="s">
        <v>88</v>
      </c>
      <c r="AP369">
        <v>1</v>
      </c>
      <c r="AQ369">
        <v>73</v>
      </c>
    </row>
    <row r="370" spans="1:43" x14ac:dyDescent="0.2">
      <c r="A370" t="s">
        <v>158</v>
      </c>
      <c r="B370" t="s">
        <v>159</v>
      </c>
      <c r="C370">
        <v>74.13</v>
      </c>
      <c r="D370" t="s">
        <v>161</v>
      </c>
      <c r="E370" t="s">
        <v>162</v>
      </c>
      <c r="F370">
        <v>105.14</v>
      </c>
      <c r="G370">
        <v>4</v>
      </c>
      <c r="H370">
        <v>0.5</v>
      </c>
      <c r="I370" t="s">
        <v>45</v>
      </c>
      <c r="J370" t="s">
        <v>46</v>
      </c>
      <c r="K370">
        <v>265.5</v>
      </c>
      <c r="L370">
        <v>0.24299999999999999</v>
      </c>
      <c r="M370" t="s">
        <v>47</v>
      </c>
      <c r="N370" t="s">
        <v>61</v>
      </c>
      <c r="O370">
        <v>0.01</v>
      </c>
      <c r="P370" t="s">
        <v>44</v>
      </c>
      <c r="Q370" t="s">
        <v>44</v>
      </c>
      <c r="R370">
        <v>0.74299999999999999</v>
      </c>
      <c r="S370" s="5">
        <f t="shared" si="5"/>
        <v>6.93</v>
      </c>
      <c r="T370" t="s">
        <v>44</v>
      </c>
      <c r="U370" t="s">
        <v>44</v>
      </c>
      <c r="V370" t="s">
        <v>48</v>
      </c>
      <c r="W370" t="s">
        <v>44</v>
      </c>
      <c r="X370">
        <v>10</v>
      </c>
      <c r="Y370">
        <v>60</v>
      </c>
      <c r="Z370">
        <v>5</v>
      </c>
      <c r="AA370">
        <v>1000</v>
      </c>
      <c r="AB370" t="s">
        <v>150</v>
      </c>
      <c r="AC370" t="s">
        <v>52</v>
      </c>
      <c r="AD370">
        <v>1</v>
      </c>
      <c r="AE370">
        <v>6.9000000000000006E-2</v>
      </c>
      <c r="AF370">
        <v>0.38200000000000001</v>
      </c>
      <c r="AG370">
        <v>-475</v>
      </c>
      <c r="AH370">
        <v>-1</v>
      </c>
      <c r="AI370">
        <v>0.18099999999999999</v>
      </c>
      <c r="AJ370">
        <v>0.33200000000000002</v>
      </c>
      <c r="AK370">
        <v>-340</v>
      </c>
      <c r="AL370">
        <v>120</v>
      </c>
      <c r="AM370" t="s">
        <v>44</v>
      </c>
      <c r="AN370">
        <v>8.8000000000000007</v>
      </c>
      <c r="AO370" t="s">
        <v>160</v>
      </c>
      <c r="AP370">
        <v>1</v>
      </c>
      <c r="AQ370">
        <v>429</v>
      </c>
    </row>
    <row r="371" spans="1:43" x14ac:dyDescent="0.2">
      <c r="A371" t="s">
        <v>158</v>
      </c>
      <c r="B371" t="s">
        <v>159</v>
      </c>
      <c r="C371">
        <v>74.13</v>
      </c>
      <c r="D371" t="s">
        <v>161</v>
      </c>
      <c r="E371" t="s">
        <v>162</v>
      </c>
      <c r="F371">
        <v>105.14</v>
      </c>
      <c r="G371">
        <v>4</v>
      </c>
      <c r="H371">
        <v>0.5</v>
      </c>
      <c r="I371" t="s">
        <v>45</v>
      </c>
      <c r="J371" t="s">
        <v>46</v>
      </c>
      <c r="K371">
        <v>265.5</v>
      </c>
      <c r="L371">
        <v>0.24299999999999999</v>
      </c>
      <c r="M371" t="s">
        <v>47</v>
      </c>
      <c r="N371" t="s">
        <v>61</v>
      </c>
      <c r="O371">
        <v>0.01</v>
      </c>
      <c r="P371" t="s">
        <v>44</v>
      </c>
      <c r="Q371" t="s">
        <v>44</v>
      </c>
      <c r="R371">
        <v>0.74299999999999999</v>
      </c>
      <c r="S371" s="5">
        <f t="shared" si="5"/>
        <v>6.93</v>
      </c>
      <c r="T371" t="s">
        <v>44</v>
      </c>
      <c r="U371" t="s">
        <v>44</v>
      </c>
      <c r="V371" t="s">
        <v>48</v>
      </c>
      <c r="W371" t="s">
        <v>44</v>
      </c>
      <c r="X371">
        <v>10</v>
      </c>
      <c r="Y371">
        <v>60</v>
      </c>
      <c r="Z371">
        <v>5</v>
      </c>
      <c r="AA371">
        <v>1000</v>
      </c>
      <c r="AB371" t="s">
        <v>69</v>
      </c>
      <c r="AC371" t="s">
        <v>52</v>
      </c>
      <c r="AD371">
        <v>2</v>
      </c>
      <c r="AE371">
        <v>7.1999999999999995E-2</v>
      </c>
      <c r="AF371">
        <v>0.42799999999999999</v>
      </c>
      <c r="AG371">
        <v>-1830</v>
      </c>
      <c r="AH371">
        <v>-1</v>
      </c>
      <c r="AI371">
        <v>0.18099999999999999</v>
      </c>
      <c r="AJ371">
        <v>0.33200000000000002</v>
      </c>
      <c r="AK371">
        <v>-340</v>
      </c>
      <c r="AL371">
        <v>120</v>
      </c>
      <c r="AM371" t="s">
        <v>44</v>
      </c>
      <c r="AN371">
        <v>8.8000000000000007</v>
      </c>
      <c r="AO371" t="s">
        <v>160</v>
      </c>
      <c r="AP371">
        <v>1</v>
      </c>
      <c r="AQ371">
        <v>430</v>
      </c>
    </row>
    <row r="372" spans="1:43" x14ac:dyDescent="0.2">
      <c r="A372" t="s">
        <v>42</v>
      </c>
      <c r="B372" t="s">
        <v>43</v>
      </c>
      <c r="C372">
        <v>86.14</v>
      </c>
      <c r="D372" t="s">
        <v>44</v>
      </c>
      <c r="G372" t="s">
        <v>44</v>
      </c>
      <c r="H372">
        <v>1</v>
      </c>
      <c r="I372" t="s">
        <v>45</v>
      </c>
      <c r="J372" t="s">
        <v>46</v>
      </c>
      <c r="K372">
        <v>265.5</v>
      </c>
      <c r="L372">
        <v>0.22800000000000001</v>
      </c>
      <c r="M372" t="s">
        <v>47</v>
      </c>
      <c r="N372" t="s">
        <v>81</v>
      </c>
      <c r="O372">
        <v>0.1</v>
      </c>
      <c r="P372" t="s">
        <v>44</v>
      </c>
      <c r="Q372" t="s">
        <v>44</v>
      </c>
      <c r="R372">
        <v>1.228</v>
      </c>
      <c r="S372" s="5">
        <f t="shared" si="5"/>
        <v>13.52</v>
      </c>
      <c r="T372" t="s">
        <v>44</v>
      </c>
      <c r="U372" t="s">
        <v>44</v>
      </c>
      <c r="V372" t="s">
        <v>48</v>
      </c>
      <c r="W372" t="s">
        <v>44</v>
      </c>
      <c r="X372">
        <v>5</v>
      </c>
      <c r="Y372">
        <v>80</v>
      </c>
      <c r="Z372">
        <v>6</v>
      </c>
      <c r="AA372">
        <v>2000</v>
      </c>
      <c r="AB372" t="s">
        <v>49</v>
      </c>
      <c r="AC372" t="s">
        <v>50</v>
      </c>
      <c r="AD372">
        <v>1</v>
      </c>
      <c r="AE372">
        <v>0.10199999999999999</v>
      </c>
      <c r="AF372">
        <v>0.35799999999999998</v>
      </c>
      <c r="AG372">
        <v>-365</v>
      </c>
      <c r="AH372">
        <v>-2</v>
      </c>
      <c r="AI372">
        <v>0.23</v>
      </c>
      <c r="AJ372">
        <v>0.379</v>
      </c>
      <c r="AK372">
        <v>-1080</v>
      </c>
      <c r="AL372">
        <v>20</v>
      </c>
      <c r="AM372" t="s">
        <v>44</v>
      </c>
      <c r="AN372">
        <v>8.9</v>
      </c>
      <c r="AO372" t="s">
        <v>82</v>
      </c>
      <c r="AP372">
        <v>1</v>
      </c>
      <c r="AQ372">
        <v>66</v>
      </c>
    </row>
    <row r="373" spans="1:43" x14ac:dyDescent="0.2">
      <c r="A373" t="s">
        <v>42</v>
      </c>
      <c r="B373" t="s">
        <v>43</v>
      </c>
      <c r="C373">
        <v>86.14</v>
      </c>
      <c r="D373" t="s">
        <v>44</v>
      </c>
      <c r="G373" t="s">
        <v>44</v>
      </c>
      <c r="H373">
        <v>0.25</v>
      </c>
      <c r="I373" t="s">
        <v>45</v>
      </c>
      <c r="J373" t="s">
        <v>46</v>
      </c>
      <c r="K373">
        <v>265.5</v>
      </c>
      <c r="L373">
        <v>0.30399999999999999</v>
      </c>
      <c r="M373" t="s">
        <v>47</v>
      </c>
      <c r="N373" t="s">
        <v>61</v>
      </c>
      <c r="O373">
        <v>0.25</v>
      </c>
      <c r="P373" t="s">
        <v>44</v>
      </c>
      <c r="Q373" t="s">
        <v>44</v>
      </c>
      <c r="R373">
        <v>0.55400000000000005</v>
      </c>
      <c r="S373" s="5">
        <f t="shared" si="5"/>
        <v>2.5299999999999998</v>
      </c>
      <c r="T373" t="s">
        <v>44</v>
      </c>
      <c r="U373" t="s">
        <v>44</v>
      </c>
      <c r="V373" t="s">
        <v>48</v>
      </c>
      <c r="W373" t="s">
        <v>44</v>
      </c>
      <c r="X373">
        <v>30</v>
      </c>
      <c r="Y373">
        <v>60</v>
      </c>
      <c r="Z373">
        <v>4</v>
      </c>
      <c r="AA373">
        <v>1000</v>
      </c>
      <c r="AB373" t="s">
        <v>49</v>
      </c>
      <c r="AC373" t="s">
        <v>50</v>
      </c>
      <c r="AD373">
        <v>1</v>
      </c>
      <c r="AE373">
        <v>0.10199999999999999</v>
      </c>
      <c r="AF373">
        <v>0.35799999999999998</v>
      </c>
      <c r="AG373">
        <v>-365</v>
      </c>
      <c r="AH373">
        <v>-2</v>
      </c>
      <c r="AI373">
        <v>0.23</v>
      </c>
      <c r="AJ373">
        <v>0.379</v>
      </c>
      <c r="AK373">
        <v>-1080</v>
      </c>
      <c r="AL373">
        <v>30</v>
      </c>
      <c r="AM373" t="s">
        <v>44</v>
      </c>
      <c r="AN373">
        <v>8.9</v>
      </c>
      <c r="AO373" t="s">
        <v>88</v>
      </c>
      <c r="AP373">
        <v>1</v>
      </c>
      <c r="AQ373">
        <v>67</v>
      </c>
    </row>
    <row r="374" spans="1:43" x14ac:dyDescent="0.2">
      <c r="A374" t="s">
        <v>42</v>
      </c>
      <c r="B374" t="s">
        <v>43</v>
      </c>
      <c r="C374">
        <v>86.14</v>
      </c>
      <c r="D374" t="s">
        <v>44</v>
      </c>
      <c r="G374" t="s">
        <v>44</v>
      </c>
      <c r="H374">
        <v>0.25</v>
      </c>
      <c r="I374" t="s">
        <v>45</v>
      </c>
      <c r="J374" t="s">
        <v>46</v>
      </c>
      <c r="K374">
        <v>265.5</v>
      </c>
      <c r="L374">
        <v>0.30399999999999999</v>
      </c>
      <c r="M374" t="s">
        <v>47</v>
      </c>
      <c r="N374" t="s">
        <v>61</v>
      </c>
      <c r="O374">
        <v>1</v>
      </c>
      <c r="P374" t="s">
        <v>44</v>
      </c>
      <c r="Q374" t="s">
        <v>44</v>
      </c>
      <c r="R374">
        <v>0.55400000000000005</v>
      </c>
      <c r="S374" s="5">
        <f t="shared" si="5"/>
        <v>2.5299999999999998</v>
      </c>
      <c r="T374" t="s">
        <v>44</v>
      </c>
      <c r="U374" t="s">
        <v>44</v>
      </c>
      <c r="V374" t="s">
        <v>48</v>
      </c>
      <c r="W374" t="s">
        <v>44</v>
      </c>
      <c r="X374">
        <v>30</v>
      </c>
      <c r="Y374">
        <v>60</v>
      </c>
      <c r="Z374">
        <v>4</v>
      </c>
      <c r="AA374">
        <v>1000</v>
      </c>
      <c r="AB374" t="s">
        <v>69</v>
      </c>
      <c r="AC374" t="s">
        <v>50</v>
      </c>
      <c r="AD374">
        <v>2</v>
      </c>
      <c r="AE374">
        <v>7.1999999999999995E-2</v>
      </c>
      <c r="AF374">
        <v>0.42799999999999999</v>
      </c>
      <c r="AG374">
        <v>-1830</v>
      </c>
      <c r="AH374">
        <v>-2</v>
      </c>
      <c r="AI374">
        <v>0.23</v>
      </c>
      <c r="AJ374">
        <v>0.379</v>
      </c>
      <c r="AK374">
        <v>-1080</v>
      </c>
      <c r="AL374">
        <v>30</v>
      </c>
      <c r="AM374" t="s">
        <v>44</v>
      </c>
      <c r="AN374">
        <v>8.9</v>
      </c>
      <c r="AO374" t="s">
        <v>88</v>
      </c>
      <c r="AP374">
        <v>1</v>
      </c>
      <c r="AQ374">
        <v>68</v>
      </c>
    </row>
    <row r="375" spans="1:43" x14ac:dyDescent="0.2">
      <c r="A375" t="s">
        <v>42</v>
      </c>
      <c r="B375" t="s">
        <v>43</v>
      </c>
      <c r="C375">
        <v>86.14</v>
      </c>
      <c r="D375" t="s">
        <v>44</v>
      </c>
      <c r="G375" t="s">
        <v>44</v>
      </c>
      <c r="H375">
        <v>0.25</v>
      </c>
      <c r="I375" t="s">
        <v>45</v>
      </c>
      <c r="J375" t="s">
        <v>46</v>
      </c>
      <c r="K375">
        <v>265.5</v>
      </c>
      <c r="L375">
        <v>0.30399999999999999</v>
      </c>
      <c r="M375" t="s">
        <v>47</v>
      </c>
      <c r="N375" t="s">
        <v>61</v>
      </c>
      <c r="O375">
        <v>0.5</v>
      </c>
      <c r="P375" t="s">
        <v>44</v>
      </c>
      <c r="Q375" t="s">
        <v>44</v>
      </c>
      <c r="R375">
        <v>0.55400000000000005</v>
      </c>
      <c r="S375" s="5">
        <f t="shared" si="5"/>
        <v>2.5299999999999998</v>
      </c>
      <c r="T375" t="s">
        <v>44</v>
      </c>
      <c r="U375" t="s">
        <v>44</v>
      </c>
      <c r="V375" t="s">
        <v>48</v>
      </c>
      <c r="W375" t="s">
        <v>44</v>
      </c>
      <c r="X375">
        <v>30</v>
      </c>
      <c r="Y375">
        <v>60</v>
      </c>
      <c r="Z375">
        <v>4</v>
      </c>
      <c r="AA375">
        <v>1000</v>
      </c>
      <c r="AB375" t="s">
        <v>69</v>
      </c>
      <c r="AC375" t="s">
        <v>52</v>
      </c>
      <c r="AD375">
        <v>2</v>
      </c>
      <c r="AE375">
        <v>7.1999999999999995E-2</v>
      </c>
      <c r="AF375">
        <v>0.42799999999999999</v>
      </c>
      <c r="AG375">
        <v>-1830</v>
      </c>
      <c r="AH375">
        <v>-1</v>
      </c>
      <c r="AI375">
        <v>0.18099999999999999</v>
      </c>
      <c r="AJ375">
        <v>0.33200000000000002</v>
      </c>
      <c r="AK375">
        <v>-340</v>
      </c>
      <c r="AL375">
        <v>30</v>
      </c>
      <c r="AM375" t="s">
        <v>44</v>
      </c>
      <c r="AN375">
        <v>8.9</v>
      </c>
      <c r="AO375" t="s">
        <v>88</v>
      </c>
      <c r="AP375">
        <v>1</v>
      </c>
      <c r="AQ375">
        <v>69</v>
      </c>
    </row>
    <row r="376" spans="1:43" x14ac:dyDescent="0.2">
      <c r="A376" t="s">
        <v>42</v>
      </c>
      <c r="B376" t="s">
        <v>43</v>
      </c>
      <c r="C376">
        <v>86.14</v>
      </c>
      <c r="D376" t="s">
        <v>44</v>
      </c>
      <c r="G376" t="s">
        <v>44</v>
      </c>
      <c r="H376">
        <v>1</v>
      </c>
      <c r="I376" t="s">
        <v>45</v>
      </c>
      <c r="J376" t="s">
        <v>46</v>
      </c>
      <c r="K376">
        <v>265.5</v>
      </c>
      <c r="L376">
        <v>0.1</v>
      </c>
      <c r="M376" t="s">
        <v>47</v>
      </c>
      <c r="N376" t="s">
        <v>44</v>
      </c>
      <c r="O376" t="s">
        <v>44</v>
      </c>
      <c r="P376" t="s">
        <v>44</v>
      </c>
      <c r="Q376" t="s">
        <v>44</v>
      </c>
      <c r="R376">
        <v>1.1000000000000001</v>
      </c>
      <c r="S376" s="5">
        <f t="shared" si="5"/>
        <v>30.82</v>
      </c>
      <c r="T376" t="s">
        <v>44</v>
      </c>
      <c r="U376" t="s">
        <v>44</v>
      </c>
      <c r="V376" t="s">
        <v>48</v>
      </c>
      <c r="W376" t="s">
        <v>44</v>
      </c>
      <c r="X376">
        <v>3</v>
      </c>
      <c r="Y376">
        <v>90</v>
      </c>
      <c r="Z376">
        <v>10.3</v>
      </c>
      <c r="AA376">
        <v>1000</v>
      </c>
      <c r="AB376" t="s">
        <v>49</v>
      </c>
      <c r="AC376" t="s">
        <v>52</v>
      </c>
      <c r="AD376">
        <v>1</v>
      </c>
      <c r="AE376">
        <v>0.10199999999999999</v>
      </c>
      <c r="AF376">
        <v>0.35799999999999998</v>
      </c>
      <c r="AG376">
        <v>-365</v>
      </c>
      <c r="AH376">
        <v>-1</v>
      </c>
      <c r="AI376">
        <v>0.18099999999999999</v>
      </c>
      <c r="AJ376">
        <v>0.33200000000000002</v>
      </c>
      <c r="AK376">
        <v>-340</v>
      </c>
      <c r="AL376">
        <v>45</v>
      </c>
      <c r="AM376" t="s">
        <v>44</v>
      </c>
      <c r="AN376">
        <v>9</v>
      </c>
      <c r="AO376" t="s">
        <v>101</v>
      </c>
      <c r="AP376">
        <v>1</v>
      </c>
      <c r="AQ376">
        <v>63</v>
      </c>
    </row>
    <row r="377" spans="1:43" x14ac:dyDescent="0.2">
      <c r="A377" t="s">
        <v>42</v>
      </c>
      <c r="B377" t="s">
        <v>43</v>
      </c>
      <c r="C377">
        <v>86.14</v>
      </c>
      <c r="D377" t="s">
        <v>44</v>
      </c>
      <c r="G377" t="s">
        <v>44</v>
      </c>
      <c r="H377">
        <v>2</v>
      </c>
      <c r="I377" t="s">
        <v>45</v>
      </c>
      <c r="J377" t="s">
        <v>46</v>
      </c>
      <c r="K377">
        <v>265.5</v>
      </c>
      <c r="L377">
        <v>0.1</v>
      </c>
      <c r="M377" t="s">
        <v>47</v>
      </c>
      <c r="N377" t="s">
        <v>44</v>
      </c>
      <c r="O377" t="s">
        <v>44</v>
      </c>
      <c r="P377" t="s">
        <v>44</v>
      </c>
      <c r="Q377" t="s">
        <v>44</v>
      </c>
      <c r="R377">
        <v>2.1</v>
      </c>
      <c r="S377" s="5">
        <f t="shared" si="5"/>
        <v>61.64</v>
      </c>
      <c r="T377" t="s">
        <v>44</v>
      </c>
      <c r="U377" t="s">
        <v>44</v>
      </c>
      <c r="V377" t="s">
        <v>48</v>
      </c>
      <c r="W377" t="s">
        <v>44</v>
      </c>
      <c r="X377">
        <v>5</v>
      </c>
      <c r="Y377">
        <v>90</v>
      </c>
      <c r="Z377">
        <v>10.3</v>
      </c>
      <c r="AA377">
        <v>1000</v>
      </c>
      <c r="AB377" t="s">
        <v>69</v>
      </c>
      <c r="AC377" t="s">
        <v>50</v>
      </c>
      <c r="AD377">
        <v>2</v>
      </c>
      <c r="AE377">
        <v>7.1999999999999995E-2</v>
      </c>
      <c r="AF377">
        <v>0.42799999999999999</v>
      </c>
      <c r="AG377">
        <v>-1830</v>
      </c>
      <c r="AH377">
        <v>-2</v>
      </c>
      <c r="AI377">
        <v>0.23</v>
      </c>
      <c r="AJ377">
        <v>0.379</v>
      </c>
      <c r="AK377">
        <v>-1080</v>
      </c>
      <c r="AL377">
        <v>45</v>
      </c>
      <c r="AM377" t="s">
        <v>44</v>
      </c>
      <c r="AN377">
        <v>9</v>
      </c>
      <c r="AO377" t="s">
        <v>101</v>
      </c>
      <c r="AP377">
        <v>1</v>
      </c>
      <c r="AQ377">
        <v>64</v>
      </c>
    </row>
    <row r="378" spans="1:43" x14ac:dyDescent="0.2">
      <c r="A378" t="s">
        <v>42</v>
      </c>
      <c r="B378" t="s">
        <v>43</v>
      </c>
      <c r="C378">
        <v>86.14</v>
      </c>
      <c r="D378" t="s">
        <v>44</v>
      </c>
      <c r="G378" t="s">
        <v>44</v>
      </c>
      <c r="H378">
        <v>1</v>
      </c>
      <c r="I378" t="s">
        <v>45</v>
      </c>
      <c r="J378" t="s">
        <v>46</v>
      </c>
      <c r="K378">
        <v>265.5</v>
      </c>
      <c r="L378">
        <v>0.2</v>
      </c>
      <c r="M378" t="s">
        <v>47</v>
      </c>
      <c r="N378" t="s">
        <v>44</v>
      </c>
      <c r="O378" t="s">
        <v>44</v>
      </c>
      <c r="P378" t="s">
        <v>44</v>
      </c>
      <c r="Q378" t="s">
        <v>44</v>
      </c>
      <c r="R378">
        <v>1.2</v>
      </c>
      <c r="S378" s="5">
        <f t="shared" si="5"/>
        <v>15.41</v>
      </c>
      <c r="T378">
        <v>11</v>
      </c>
      <c r="U378" t="s">
        <v>44</v>
      </c>
      <c r="V378" t="s">
        <v>48</v>
      </c>
      <c r="W378" t="s">
        <v>44</v>
      </c>
      <c r="X378">
        <v>10</v>
      </c>
      <c r="Y378">
        <v>60</v>
      </c>
      <c r="Z378">
        <v>6</v>
      </c>
      <c r="AA378">
        <v>2000</v>
      </c>
      <c r="AB378" t="s">
        <v>49</v>
      </c>
      <c r="AC378" t="s">
        <v>52</v>
      </c>
      <c r="AD378">
        <v>1</v>
      </c>
      <c r="AE378">
        <v>0.10199999999999999</v>
      </c>
      <c r="AF378">
        <v>0.35799999999999998</v>
      </c>
      <c r="AG378">
        <v>-365</v>
      </c>
      <c r="AH378">
        <v>-1</v>
      </c>
      <c r="AI378">
        <v>0.18099999999999999</v>
      </c>
      <c r="AJ378">
        <v>0.33200000000000002</v>
      </c>
      <c r="AK378">
        <v>-340</v>
      </c>
      <c r="AL378">
        <v>120</v>
      </c>
      <c r="AM378" t="s">
        <v>44</v>
      </c>
      <c r="AN378">
        <v>9</v>
      </c>
      <c r="AO378" t="s">
        <v>102</v>
      </c>
      <c r="AP378">
        <v>1</v>
      </c>
      <c r="AQ378">
        <v>65</v>
      </c>
    </row>
    <row r="379" spans="1:43" x14ac:dyDescent="0.2">
      <c r="A379" t="s">
        <v>42</v>
      </c>
      <c r="B379" t="s">
        <v>43</v>
      </c>
      <c r="C379">
        <v>86.14</v>
      </c>
      <c r="D379" t="s">
        <v>44</v>
      </c>
      <c r="G379" t="s">
        <v>44</v>
      </c>
      <c r="H379">
        <v>0.25</v>
      </c>
      <c r="I379" t="s">
        <v>45</v>
      </c>
      <c r="J379" t="s">
        <v>46</v>
      </c>
      <c r="K379">
        <v>265.5</v>
      </c>
      <c r="L379">
        <v>0.30399999999999999</v>
      </c>
      <c r="M379" t="s">
        <v>47</v>
      </c>
      <c r="N379" t="s">
        <v>61</v>
      </c>
      <c r="O379">
        <v>0.25</v>
      </c>
      <c r="P379" t="s">
        <v>44</v>
      </c>
      <c r="Q379" t="s">
        <v>44</v>
      </c>
      <c r="R379">
        <v>0.55400000000000005</v>
      </c>
      <c r="S379" s="5">
        <f t="shared" si="5"/>
        <v>2.5299999999999998</v>
      </c>
      <c r="T379" t="s">
        <v>44</v>
      </c>
      <c r="U379" t="s">
        <v>44</v>
      </c>
      <c r="V379" t="s">
        <v>48</v>
      </c>
      <c r="W379" t="s">
        <v>44</v>
      </c>
      <c r="X379">
        <v>30</v>
      </c>
      <c r="Y379">
        <v>60</v>
      </c>
      <c r="Z379">
        <v>4</v>
      </c>
      <c r="AA379">
        <v>1000</v>
      </c>
      <c r="AB379" t="s">
        <v>69</v>
      </c>
      <c r="AC379" t="s">
        <v>50</v>
      </c>
      <c r="AD379">
        <v>2</v>
      </c>
      <c r="AE379">
        <v>7.1999999999999995E-2</v>
      </c>
      <c r="AF379">
        <v>0.42799999999999999</v>
      </c>
      <c r="AG379">
        <v>-1830</v>
      </c>
      <c r="AH379">
        <v>-2</v>
      </c>
      <c r="AI379">
        <v>0.23</v>
      </c>
      <c r="AJ379">
        <v>0.379</v>
      </c>
      <c r="AK379">
        <v>-1080</v>
      </c>
      <c r="AL379">
        <v>30</v>
      </c>
      <c r="AM379" t="s">
        <v>44</v>
      </c>
      <c r="AN379">
        <v>9.1</v>
      </c>
      <c r="AO379" t="s">
        <v>88</v>
      </c>
      <c r="AP379">
        <v>1</v>
      </c>
      <c r="AQ379">
        <v>61</v>
      </c>
    </row>
    <row r="380" spans="1:43" x14ac:dyDescent="0.2">
      <c r="A380" t="s">
        <v>42</v>
      </c>
      <c r="B380" t="s">
        <v>43</v>
      </c>
      <c r="C380">
        <v>86.14</v>
      </c>
      <c r="D380" t="s">
        <v>44</v>
      </c>
      <c r="G380" t="s">
        <v>44</v>
      </c>
      <c r="H380">
        <v>0.25</v>
      </c>
      <c r="I380" t="s">
        <v>45</v>
      </c>
      <c r="J380" t="s">
        <v>46</v>
      </c>
      <c r="K380">
        <v>265.5</v>
      </c>
      <c r="L380">
        <v>0.30399999999999999</v>
      </c>
      <c r="M380" t="s">
        <v>47</v>
      </c>
      <c r="N380" t="s">
        <v>61</v>
      </c>
      <c r="O380">
        <v>0.5</v>
      </c>
      <c r="P380" t="s">
        <v>44</v>
      </c>
      <c r="Q380" t="s">
        <v>44</v>
      </c>
      <c r="R380">
        <v>0.55400000000000005</v>
      </c>
      <c r="S380" s="5">
        <f t="shared" si="5"/>
        <v>2.5299999999999998</v>
      </c>
      <c r="T380" t="s">
        <v>44</v>
      </c>
      <c r="U380" t="s">
        <v>44</v>
      </c>
      <c r="V380" t="s">
        <v>48</v>
      </c>
      <c r="W380" t="s">
        <v>44</v>
      </c>
      <c r="X380">
        <v>30</v>
      </c>
      <c r="Y380">
        <v>60</v>
      </c>
      <c r="Z380">
        <v>4</v>
      </c>
      <c r="AA380">
        <v>1000</v>
      </c>
      <c r="AB380" t="s">
        <v>69</v>
      </c>
      <c r="AC380" t="s">
        <v>50</v>
      </c>
      <c r="AD380">
        <v>2</v>
      </c>
      <c r="AE380">
        <v>7.1999999999999995E-2</v>
      </c>
      <c r="AF380">
        <v>0.42799999999999999</v>
      </c>
      <c r="AG380">
        <v>-1830</v>
      </c>
      <c r="AH380">
        <v>-2</v>
      </c>
      <c r="AI380">
        <v>0.23</v>
      </c>
      <c r="AJ380">
        <v>0.379</v>
      </c>
      <c r="AK380">
        <v>-1080</v>
      </c>
      <c r="AL380">
        <v>30</v>
      </c>
      <c r="AM380" t="s">
        <v>44</v>
      </c>
      <c r="AN380">
        <v>9.1</v>
      </c>
      <c r="AO380" t="s">
        <v>88</v>
      </c>
      <c r="AP380">
        <v>1</v>
      </c>
      <c r="AQ380">
        <v>62</v>
      </c>
    </row>
    <row r="381" spans="1:43" x14ac:dyDescent="0.2">
      <c r="A381" t="s">
        <v>42</v>
      </c>
      <c r="B381" t="s">
        <v>43</v>
      </c>
      <c r="C381">
        <v>86.14</v>
      </c>
      <c r="D381" t="s">
        <v>44</v>
      </c>
      <c r="G381" t="s">
        <v>44</v>
      </c>
      <c r="H381">
        <v>0.2</v>
      </c>
      <c r="I381" t="s">
        <v>45</v>
      </c>
      <c r="J381" t="s">
        <v>46</v>
      </c>
      <c r="K381">
        <v>265.5</v>
      </c>
      <c r="L381">
        <v>0.1</v>
      </c>
      <c r="M381" t="s">
        <v>47</v>
      </c>
      <c r="N381" t="s">
        <v>44</v>
      </c>
      <c r="O381" t="s">
        <v>44</v>
      </c>
      <c r="P381" t="s">
        <v>44</v>
      </c>
      <c r="Q381" t="s">
        <v>44</v>
      </c>
      <c r="R381">
        <v>0.3</v>
      </c>
      <c r="S381" s="5">
        <f t="shared" si="5"/>
        <v>6.16</v>
      </c>
      <c r="T381" t="s">
        <v>44</v>
      </c>
      <c r="U381" t="s">
        <v>44</v>
      </c>
      <c r="V381" t="s">
        <v>48</v>
      </c>
      <c r="W381" t="s">
        <v>44</v>
      </c>
      <c r="X381">
        <v>10</v>
      </c>
      <c r="Y381">
        <v>100</v>
      </c>
      <c r="Z381">
        <v>10.3</v>
      </c>
      <c r="AA381">
        <v>1000</v>
      </c>
      <c r="AB381" t="s">
        <v>69</v>
      </c>
      <c r="AC381" t="s">
        <v>50</v>
      </c>
      <c r="AD381">
        <v>2</v>
      </c>
      <c r="AE381">
        <v>7.1999999999999995E-2</v>
      </c>
      <c r="AF381">
        <v>0.42799999999999999</v>
      </c>
      <c r="AG381">
        <v>-1830</v>
      </c>
      <c r="AH381">
        <v>-2</v>
      </c>
      <c r="AI381">
        <v>0.23</v>
      </c>
      <c r="AJ381">
        <v>0.379</v>
      </c>
      <c r="AK381">
        <v>-1080</v>
      </c>
      <c r="AL381">
        <v>45</v>
      </c>
      <c r="AM381" t="s">
        <v>44</v>
      </c>
      <c r="AN381">
        <v>9.1999999999999993</v>
      </c>
      <c r="AO381" t="s">
        <v>101</v>
      </c>
      <c r="AP381">
        <v>1</v>
      </c>
      <c r="AQ381">
        <v>58</v>
      </c>
    </row>
    <row r="382" spans="1:43" x14ac:dyDescent="0.2">
      <c r="A382" t="s">
        <v>42</v>
      </c>
      <c r="B382" t="s">
        <v>43</v>
      </c>
      <c r="C382">
        <v>86.14</v>
      </c>
      <c r="D382" t="s">
        <v>44</v>
      </c>
      <c r="G382" t="s">
        <v>44</v>
      </c>
      <c r="H382">
        <v>1</v>
      </c>
      <c r="I382" t="s">
        <v>45</v>
      </c>
      <c r="J382" t="s">
        <v>46</v>
      </c>
      <c r="K382">
        <v>265.5</v>
      </c>
      <c r="L382">
        <v>0.1</v>
      </c>
      <c r="M382" t="s">
        <v>47</v>
      </c>
      <c r="N382" t="s">
        <v>44</v>
      </c>
      <c r="O382" t="s">
        <v>44</v>
      </c>
      <c r="P382" t="s">
        <v>44</v>
      </c>
      <c r="Q382" t="s">
        <v>44</v>
      </c>
      <c r="R382">
        <v>1.1000000000000001</v>
      </c>
      <c r="S382" s="5">
        <f t="shared" si="5"/>
        <v>30.82</v>
      </c>
      <c r="T382" t="s">
        <v>44</v>
      </c>
      <c r="U382" t="s">
        <v>44</v>
      </c>
      <c r="V382" t="s">
        <v>48</v>
      </c>
      <c r="W382" t="s">
        <v>44</v>
      </c>
      <c r="X382">
        <v>3</v>
      </c>
      <c r="Y382">
        <v>90</v>
      </c>
      <c r="Z382">
        <v>10.3</v>
      </c>
      <c r="AA382">
        <v>1000</v>
      </c>
      <c r="AB382" t="s">
        <v>69</v>
      </c>
      <c r="AC382" t="s">
        <v>50</v>
      </c>
      <c r="AD382">
        <v>2</v>
      </c>
      <c r="AE382">
        <v>7.1999999999999995E-2</v>
      </c>
      <c r="AF382">
        <v>0.42799999999999999</v>
      </c>
      <c r="AG382">
        <v>-1830</v>
      </c>
      <c r="AH382">
        <v>-2</v>
      </c>
      <c r="AI382">
        <v>0.23</v>
      </c>
      <c r="AJ382">
        <v>0.379</v>
      </c>
      <c r="AK382">
        <v>-1080</v>
      </c>
      <c r="AL382">
        <v>45</v>
      </c>
      <c r="AM382" t="s">
        <v>44</v>
      </c>
      <c r="AN382">
        <v>9.1999999999999993</v>
      </c>
      <c r="AO382" t="s">
        <v>101</v>
      </c>
      <c r="AP382">
        <v>1</v>
      </c>
      <c r="AQ382">
        <v>59</v>
      </c>
    </row>
    <row r="383" spans="1:43" x14ac:dyDescent="0.2">
      <c r="A383" t="s">
        <v>42</v>
      </c>
      <c r="B383" t="s">
        <v>43</v>
      </c>
      <c r="C383">
        <v>86.14</v>
      </c>
      <c r="D383" t="s">
        <v>71</v>
      </c>
      <c r="E383" t="s">
        <v>72</v>
      </c>
      <c r="F383">
        <v>101.19</v>
      </c>
      <c r="G383">
        <v>1</v>
      </c>
      <c r="H383">
        <v>0.38100000000000001</v>
      </c>
      <c r="I383" t="s">
        <v>45</v>
      </c>
      <c r="J383" t="s">
        <v>46</v>
      </c>
      <c r="K383">
        <v>265.5</v>
      </c>
      <c r="L383">
        <v>0.1</v>
      </c>
      <c r="M383" t="s">
        <v>47</v>
      </c>
      <c r="N383" t="s">
        <v>44</v>
      </c>
      <c r="O383">
        <v>1</v>
      </c>
      <c r="P383" t="s">
        <v>44</v>
      </c>
      <c r="Q383" t="s">
        <v>44</v>
      </c>
      <c r="R383">
        <v>0.48099999999999998</v>
      </c>
      <c r="S383" s="5">
        <f t="shared" si="5"/>
        <v>10.87</v>
      </c>
      <c r="T383" t="s">
        <v>44</v>
      </c>
      <c r="U383" t="s">
        <v>44</v>
      </c>
      <c r="V383" t="s">
        <v>48</v>
      </c>
      <c r="W383" t="s">
        <v>44</v>
      </c>
      <c r="X383">
        <v>10</v>
      </c>
      <c r="Y383" t="s">
        <v>44</v>
      </c>
      <c r="Z383">
        <v>4.8</v>
      </c>
      <c r="AA383">
        <v>2000</v>
      </c>
      <c r="AB383" t="s">
        <v>69</v>
      </c>
      <c r="AC383" t="s">
        <v>50</v>
      </c>
      <c r="AD383">
        <v>2</v>
      </c>
      <c r="AE383">
        <v>7.1999999999999995E-2</v>
      </c>
      <c r="AF383">
        <v>0.42799999999999999</v>
      </c>
      <c r="AG383">
        <v>-1830</v>
      </c>
      <c r="AH383">
        <v>-2</v>
      </c>
      <c r="AI383">
        <v>0.23</v>
      </c>
      <c r="AJ383">
        <v>0.379</v>
      </c>
      <c r="AK383">
        <v>-1080</v>
      </c>
      <c r="AL383">
        <v>60</v>
      </c>
      <c r="AM383" t="s">
        <v>44</v>
      </c>
      <c r="AN383">
        <v>9.1999999999999993</v>
      </c>
      <c r="AO383" t="s">
        <v>73</v>
      </c>
      <c r="AP383">
        <v>1</v>
      </c>
      <c r="AQ383">
        <v>60</v>
      </c>
    </row>
    <row r="384" spans="1:43" x14ac:dyDescent="0.2">
      <c r="A384" t="s">
        <v>63</v>
      </c>
      <c r="B384" t="s">
        <v>64</v>
      </c>
      <c r="C384">
        <v>228.29</v>
      </c>
      <c r="D384" t="s">
        <v>44</v>
      </c>
      <c r="G384" t="s">
        <v>44</v>
      </c>
      <c r="H384">
        <v>1</v>
      </c>
      <c r="I384" t="s">
        <v>45</v>
      </c>
      <c r="J384" t="s">
        <v>46</v>
      </c>
      <c r="K384">
        <v>265.5</v>
      </c>
      <c r="L384">
        <v>0.15</v>
      </c>
      <c r="M384" t="s">
        <v>47</v>
      </c>
      <c r="N384" t="s">
        <v>44</v>
      </c>
      <c r="O384" t="s">
        <v>44</v>
      </c>
      <c r="P384" t="s">
        <v>44</v>
      </c>
      <c r="Q384" t="s">
        <v>44</v>
      </c>
      <c r="R384">
        <v>1.1499999999999999</v>
      </c>
      <c r="S384" s="5">
        <f t="shared" si="5"/>
        <v>7.75</v>
      </c>
      <c r="T384" t="s">
        <v>44</v>
      </c>
      <c r="U384" t="s">
        <v>44</v>
      </c>
      <c r="V384" t="s">
        <v>48</v>
      </c>
      <c r="W384" t="s">
        <v>44</v>
      </c>
      <c r="X384" t="s">
        <v>44</v>
      </c>
      <c r="Y384" t="s">
        <v>44</v>
      </c>
      <c r="Z384">
        <v>1.72</v>
      </c>
      <c r="AA384">
        <v>0.58660000000000001</v>
      </c>
      <c r="AB384" t="s">
        <v>49</v>
      </c>
      <c r="AC384" t="s">
        <v>52</v>
      </c>
      <c r="AD384">
        <v>1</v>
      </c>
      <c r="AE384">
        <v>0.10199999999999999</v>
      </c>
      <c r="AF384">
        <v>0.35799999999999998</v>
      </c>
      <c r="AG384">
        <v>-365</v>
      </c>
      <c r="AH384">
        <v>-1</v>
      </c>
      <c r="AI384">
        <v>0.18099999999999999</v>
      </c>
      <c r="AJ384">
        <v>0.33200000000000002</v>
      </c>
      <c r="AK384">
        <v>-340</v>
      </c>
      <c r="AL384">
        <v>30</v>
      </c>
      <c r="AM384" t="s">
        <v>44</v>
      </c>
      <c r="AN384">
        <v>9.3000000000000007</v>
      </c>
      <c r="AO384" t="s">
        <v>65</v>
      </c>
      <c r="AP384">
        <v>1</v>
      </c>
      <c r="AQ384">
        <v>10</v>
      </c>
    </row>
    <row r="385" spans="1:43" x14ac:dyDescent="0.2">
      <c r="A385" t="s">
        <v>42</v>
      </c>
      <c r="B385" t="s">
        <v>43</v>
      </c>
      <c r="C385">
        <v>86.14</v>
      </c>
      <c r="D385" t="s">
        <v>44</v>
      </c>
      <c r="G385" t="s">
        <v>44</v>
      </c>
      <c r="H385">
        <v>1</v>
      </c>
      <c r="I385" t="s">
        <v>45</v>
      </c>
      <c r="J385" t="s">
        <v>46</v>
      </c>
      <c r="K385">
        <v>265.5</v>
      </c>
      <c r="L385">
        <v>0.22800000000000001</v>
      </c>
      <c r="M385" t="s">
        <v>47</v>
      </c>
      <c r="N385" t="s">
        <v>81</v>
      </c>
      <c r="O385">
        <v>0.1</v>
      </c>
      <c r="P385" t="s">
        <v>44</v>
      </c>
      <c r="Q385" t="s">
        <v>44</v>
      </c>
      <c r="R385">
        <v>1.228</v>
      </c>
      <c r="S385" s="5">
        <f t="shared" ref="S385:S432" si="6">ROUND(IF(G385="-", (H385/C385)/(L385/K385), ((G385*H385/C385) + (H385/F385)) / (1+G385) / (L385/K385)),2)</f>
        <v>13.52</v>
      </c>
      <c r="T385" t="s">
        <v>44</v>
      </c>
      <c r="U385" t="s">
        <v>44</v>
      </c>
      <c r="V385" t="s">
        <v>48</v>
      </c>
      <c r="W385" t="s">
        <v>44</v>
      </c>
      <c r="X385">
        <v>5</v>
      </c>
      <c r="Y385">
        <v>80</v>
      </c>
      <c r="Z385">
        <v>6</v>
      </c>
      <c r="AA385">
        <v>2000</v>
      </c>
      <c r="AB385" t="s">
        <v>49</v>
      </c>
      <c r="AC385" t="s">
        <v>50</v>
      </c>
      <c r="AD385">
        <v>1</v>
      </c>
      <c r="AE385">
        <v>0.10199999999999999</v>
      </c>
      <c r="AF385">
        <v>0.35799999999999998</v>
      </c>
      <c r="AG385">
        <v>-365</v>
      </c>
      <c r="AH385">
        <v>-2</v>
      </c>
      <c r="AI385">
        <v>0.23</v>
      </c>
      <c r="AJ385">
        <v>0.379</v>
      </c>
      <c r="AK385">
        <v>-1080</v>
      </c>
      <c r="AL385">
        <v>15</v>
      </c>
      <c r="AM385" t="s">
        <v>44</v>
      </c>
      <c r="AN385">
        <v>9.5</v>
      </c>
      <c r="AO385" t="s">
        <v>82</v>
      </c>
      <c r="AP385">
        <v>1</v>
      </c>
      <c r="AQ385">
        <v>53</v>
      </c>
    </row>
    <row r="386" spans="1:43" x14ac:dyDescent="0.2">
      <c r="A386" t="s">
        <v>42</v>
      </c>
      <c r="B386" t="s">
        <v>43</v>
      </c>
      <c r="C386">
        <v>86.14</v>
      </c>
      <c r="D386" t="s">
        <v>44</v>
      </c>
      <c r="G386" t="s">
        <v>44</v>
      </c>
      <c r="H386">
        <v>1</v>
      </c>
      <c r="I386" t="s">
        <v>45</v>
      </c>
      <c r="J386" t="s">
        <v>46</v>
      </c>
      <c r="K386">
        <v>265.5</v>
      </c>
      <c r="L386">
        <v>0.22800000000000001</v>
      </c>
      <c r="M386" t="s">
        <v>47</v>
      </c>
      <c r="N386" t="s">
        <v>81</v>
      </c>
      <c r="O386">
        <v>0.1</v>
      </c>
      <c r="P386" t="s">
        <v>44</v>
      </c>
      <c r="Q386" t="s">
        <v>44</v>
      </c>
      <c r="R386">
        <v>1.228</v>
      </c>
      <c r="S386" s="5">
        <f t="shared" si="6"/>
        <v>13.52</v>
      </c>
      <c r="T386" t="s">
        <v>44</v>
      </c>
      <c r="U386" t="s">
        <v>44</v>
      </c>
      <c r="V386" t="s">
        <v>48</v>
      </c>
      <c r="W386" t="s">
        <v>44</v>
      </c>
      <c r="X386">
        <v>5</v>
      </c>
      <c r="Y386">
        <v>80</v>
      </c>
      <c r="Z386">
        <v>6</v>
      </c>
      <c r="AA386">
        <v>2000</v>
      </c>
      <c r="AB386" t="s">
        <v>49</v>
      </c>
      <c r="AC386" t="s">
        <v>50</v>
      </c>
      <c r="AD386">
        <v>1</v>
      </c>
      <c r="AE386">
        <v>0.10199999999999999</v>
      </c>
      <c r="AF386">
        <v>0.35799999999999998</v>
      </c>
      <c r="AG386">
        <v>-365</v>
      </c>
      <c r="AH386">
        <v>-2</v>
      </c>
      <c r="AI386">
        <v>0.23</v>
      </c>
      <c r="AJ386">
        <v>0.379</v>
      </c>
      <c r="AK386">
        <v>-1080</v>
      </c>
      <c r="AL386">
        <v>15</v>
      </c>
      <c r="AM386" t="s">
        <v>44</v>
      </c>
      <c r="AN386">
        <v>9.5</v>
      </c>
      <c r="AO386" t="s">
        <v>82</v>
      </c>
      <c r="AP386">
        <v>1</v>
      </c>
      <c r="AQ386">
        <v>54</v>
      </c>
    </row>
    <row r="387" spans="1:43" x14ac:dyDescent="0.2">
      <c r="A387" t="s">
        <v>42</v>
      </c>
      <c r="B387" t="s">
        <v>43</v>
      </c>
      <c r="C387">
        <v>86.14</v>
      </c>
      <c r="D387" t="s">
        <v>44</v>
      </c>
      <c r="G387" t="s">
        <v>44</v>
      </c>
      <c r="H387">
        <v>1</v>
      </c>
      <c r="I387" t="s">
        <v>45</v>
      </c>
      <c r="J387" t="s">
        <v>46</v>
      </c>
      <c r="K387">
        <v>265.5</v>
      </c>
      <c r="L387">
        <v>0.22800000000000001</v>
      </c>
      <c r="M387" t="s">
        <v>47</v>
      </c>
      <c r="N387" t="s">
        <v>81</v>
      </c>
      <c r="O387">
        <v>0.1</v>
      </c>
      <c r="P387" t="s">
        <v>44</v>
      </c>
      <c r="Q387" t="s">
        <v>44</v>
      </c>
      <c r="R387">
        <v>1.228</v>
      </c>
      <c r="S387" s="5">
        <f t="shared" si="6"/>
        <v>13.52</v>
      </c>
      <c r="T387" t="s">
        <v>44</v>
      </c>
      <c r="U387" t="s">
        <v>44</v>
      </c>
      <c r="V387" t="s">
        <v>48</v>
      </c>
      <c r="W387" t="s">
        <v>44</v>
      </c>
      <c r="X387">
        <v>5</v>
      </c>
      <c r="Y387">
        <v>80</v>
      </c>
      <c r="Z387">
        <v>6</v>
      </c>
      <c r="AA387">
        <v>2000</v>
      </c>
      <c r="AB387" t="s">
        <v>49</v>
      </c>
      <c r="AC387" t="s">
        <v>50</v>
      </c>
      <c r="AD387">
        <v>1</v>
      </c>
      <c r="AE387">
        <v>0.10199999999999999</v>
      </c>
      <c r="AF387">
        <v>0.35799999999999998</v>
      </c>
      <c r="AG387">
        <v>-365</v>
      </c>
      <c r="AH387">
        <v>-2</v>
      </c>
      <c r="AI387">
        <v>0.23</v>
      </c>
      <c r="AJ387">
        <v>0.379</v>
      </c>
      <c r="AK387">
        <v>-1080</v>
      </c>
      <c r="AL387">
        <v>15</v>
      </c>
      <c r="AM387" t="s">
        <v>44</v>
      </c>
      <c r="AN387">
        <v>9.5</v>
      </c>
      <c r="AO387" t="s">
        <v>82</v>
      </c>
      <c r="AP387">
        <v>1</v>
      </c>
      <c r="AQ387">
        <v>55</v>
      </c>
    </row>
    <row r="388" spans="1:43" x14ac:dyDescent="0.2">
      <c r="A388" t="s">
        <v>67</v>
      </c>
      <c r="B388" t="s">
        <v>68</v>
      </c>
      <c r="C388">
        <v>210.27</v>
      </c>
      <c r="D388" t="s">
        <v>44</v>
      </c>
      <c r="G388" t="s">
        <v>44</v>
      </c>
      <c r="H388">
        <v>4</v>
      </c>
      <c r="I388" t="s">
        <v>45</v>
      </c>
      <c r="J388" t="s">
        <v>46</v>
      </c>
      <c r="K388">
        <v>265.5</v>
      </c>
      <c r="L388">
        <v>0.2</v>
      </c>
      <c r="M388" t="s">
        <v>47</v>
      </c>
      <c r="N388" t="s">
        <v>61</v>
      </c>
      <c r="O388">
        <v>0.1</v>
      </c>
      <c r="P388" t="s">
        <v>44</v>
      </c>
      <c r="Q388" t="s">
        <v>44</v>
      </c>
      <c r="R388">
        <v>4.2</v>
      </c>
      <c r="S388" s="5">
        <f t="shared" si="6"/>
        <v>25.25</v>
      </c>
      <c r="T388" t="s">
        <v>44</v>
      </c>
      <c r="U388" t="s">
        <v>44</v>
      </c>
      <c r="V388" t="s">
        <v>48</v>
      </c>
      <c r="W388" t="s">
        <v>44</v>
      </c>
      <c r="X388">
        <v>15</v>
      </c>
      <c r="Y388">
        <v>80</v>
      </c>
      <c r="Z388">
        <v>4</v>
      </c>
      <c r="AA388">
        <v>2000</v>
      </c>
      <c r="AB388" t="s">
        <v>69</v>
      </c>
      <c r="AC388" t="s">
        <v>50</v>
      </c>
      <c r="AD388">
        <v>2</v>
      </c>
      <c r="AE388">
        <v>7.1999999999999995E-2</v>
      </c>
      <c r="AF388">
        <v>0.42799999999999999</v>
      </c>
      <c r="AG388">
        <v>-1830</v>
      </c>
      <c r="AH388">
        <v>-2</v>
      </c>
      <c r="AI388">
        <v>0.23</v>
      </c>
      <c r="AJ388">
        <v>0.379</v>
      </c>
      <c r="AK388">
        <v>-1080</v>
      </c>
      <c r="AL388">
        <v>120</v>
      </c>
      <c r="AM388" t="s">
        <v>44</v>
      </c>
      <c r="AN388">
        <v>9.5</v>
      </c>
      <c r="AO388" t="s">
        <v>70</v>
      </c>
      <c r="AP388">
        <v>1</v>
      </c>
      <c r="AQ388">
        <v>56</v>
      </c>
    </row>
    <row r="389" spans="1:43" x14ac:dyDescent="0.2">
      <c r="A389" t="s">
        <v>42</v>
      </c>
      <c r="B389" t="s">
        <v>43</v>
      </c>
      <c r="C389">
        <v>86.14</v>
      </c>
      <c r="D389" t="s">
        <v>44</v>
      </c>
      <c r="G389" t="s">
        <v>44</v>
      </c>
      <c r="H389">
        <v>0.25</v>
      </c>
      <c r="I389" t="s">
        <v>45</v>
      </c>
      <c r="J389" t="s">
        <v>46</v>
      </c>
      <c r="K389">
        <v>265.5</v>
      </c>
      <c r="L389">
        <v>0.30399999999999999</v>
      </c>
      <c r="M389" t="s">
        <v>47</v>
      </c>
      <c r="N389" t="s">
        <v>61</v>
      </c>
      <c r="O389">
        <v>0.25</v>
      </c>
      <c r="P389" t="s">
        <v>44</v>
      </c>
      <c r="Q389" t="s">
        <v>44</v>
      </c>
      <c r="R389">
        <v>0.55400000000000005</v>
      </c>
      <c r="S389" s="5">
        <f t="shared" si="6"/>
        <v>2.5299999999999998</v>
      </c>
      <c r="T389" t="s">
        <v>44</v>
      </c>
      <c r="U389" t="s">
        <v>44</v>
      </c>
      <c r="V389" t="s">
        <v>48</v>
      </c>
      <c r="W389" t="s">
        <v>44</v>
      </c>
      <c r="X389">
        <v>30</v>
      </c>
      <c r="Y389">
        <v>60</v>
      </c>
      <c r="Z389">
        <v>4</v>
      </c>
      <c r="AA389">
        <v>1000</v>
      </c>
      <c r="AB389" t="s">
        <v>69</v>
      </c>
      <c r="AC389" t="s">
        <v>52</v>
      </c>
      <c r="AD389">
        <v>2</v>
      </c>
      <c r="AE389">
        <v>7.1999999999999995E-2</v>
      </c>
      <c r="AF389">
        <v>0.42799999999999999</v>
      </c>
      <c r="AG389">
        <v>-1830</v>
      </c>
      <c r="AH389">
        <v>-1</v>
      </c>
      <c r="AI389">
        <v>0.18099999999999999</v>
      </c>
      <c r="AJ389">
        <v>0.33200000000000002</v>
      </c>
      <c r="AK389">
        <v>-340</v>
      </c>
      <c r="AL389">
        <v>30</v>
      </c>
      <c r="AM389" t="s">
        <v>44</v>
      </c>
      <c r="AN389">
        <v>9.5</v>
      </c>
      <c r="AO389" t="s">
        <v>88</v>
      </c>
      <c r="AP389">
        <v>1</v>
      </c>
      <c r="AQ389">
        <v>57</v>
      </c>
    </row>
    <row r="390" spans="1:43" x14ac:dyDescent="0.2">
      <c r="A390" t="s">
        <v>67</v>
      </c>
      <c r="B390" t="s">
        <v>68</v>
      </c>
      <c r="C390">
        <v>210.27</v>
      </c>
      <c r="D390" t="s">
        <v>44</v>
      </c>
      <c r="G390" t="s">
        <v>44</v>
      </c>
      <c r="H390">
        <v>4</v>
      </c>
      <c r="I390" t="s">
        <v>45</v>
      </c>
      <c r="J390" t="s">
        <v>46</v>
      </c>
      <c r="K390">
        <v>265.5</v>
      </c>
      <c r="L390">
        <v>0.15</v>
      </c>
      <c r="M390" t="s">
        <v>47</v>
      </c>
      <c r="N390" t="s">
        <v>61</v>
      </c>
      <c r="O390">
        <v>0.1</v>
      </c>
      <c r="P390" t="s">
        <v>44</v>
      </c>
      <c r="Q390" t="s">
        <v>44</v>
      </c>
      <c r="R390">
        <v>4.1500000000000004</v>
      </c>
      <c r="S390" s="5">
        <f t="shared" si="6"/>
        <v>33.67</v>
      </c>
      <c r="T390" t="s">
        <v>44</v>
      </c>
      <c r="U390" t="s">
        <v>44</v>
      </c>
      <c r="V390" t="s">
        <v>48</v>
      </c>
      <c r="W390" t="s">
        <v>44</v>
      </c>
      <c r="X390">
        <v>15</v>
      </c>
      <c r="Y390">
        <v>80</v>
      </c>
      <c r="Z390">
        <v>4</v>
      </c>
      <c r="AA390">
        <v>2000</v>
      </c>
      <c r="AB390" t="s">
        <v>69</v>
      </c>
      <c r="AC390" t="s">
        <v>50</v>
      </c>
      <c r="AD390">
        <v>2</v>
      </c>
      <c r="AE390">
        <v>7.1999999999999995E-2</v>
      </c>
      <c r="AF390">
        <v>0.42799999999999999</v>
      </c>
      <c r="AG390">
        <v>-1830</v>
      </c>
      <c r="AH390">
        <v>-2</v>
      </c>
      <c r="AI390">
        <v>0.23</v>
      </c>
      <c r="AJ390">
        <v>0.379</v>
      </c>
      <c r="AK390">
        <v>-1080</v>
      </c>
      <c r="AL390">
        <v>180</v>
      </c>
      <c r="AM390" t="s">
        <v>44</v>
      </c>
      <c r="AN390">
        <v>9.6</v>
      </c>
      <c r="AO390" t="s">
        <v>70</v>
      </c>
      <c r="AP390">
        <v>1</v>
      </c>
      <c r="AQ390">
        <v>50</v>
      </c>
    </row>
    <row r="391" spans="1:43" x14ac:dyDescent="0.2">
      <c r="A391" t="s">
        <v>42</v>
      </c>
      <c r="B391" t="s">
        <v>43</v>
      </c>
      <c r="C391">
        <v>86.14</v>
      </c>
      <c r="D391" t="s">
        <v>44</v>
      </c>
      <c r="G391" t="s">
        <v>44</v>
      </c>
      <c r="H391">
        <v>0.25</v>
      </c>
      <c r="I391" t="s">
        <v>45</v>
      </c>
      <c r="J391" t="s">
        <v>46</v>
      </c>
      <c r="K391">
        <v>265.5</v>
      </c>
      <c r="L391">
        <v>0.30399999999999999</v>
      </c>
      <c r="M391" t="s">
        <v>47</v>
      </c>
      <c r="N391" t="s">
        <v>61</v>
      </c>
      <c r="O391">
        <v>0.5</v>
      </c>
      <c r="P391" t="s">
        <v>44</v>
      </c>
      <c r="Q391" t="s">
        <v>44</v>
      </c>
      <c r="R391">
        <v>0.55400000000000005</v>
      </c>
      <c r="S391" s="5">
        <f t="shared" si="6"/>
        <v>2.5299999999999998</v>
      </c>
      <c r="T391" t="s">
        <v>44</v>
      </c>
      <c r="U391" t="s">
        <v>44</v>
      </c>
      <c r="V391" t="s">
        <v>48</v>
      </c>
      <c r="W391" t="s">
        <v>44</v>
      </c>
      <c r="X391">
        <v>30</v>
      </c>
      <c r="Y391">
        <v>60</v>
      </c>
      <c r="Z391">
        <v>4</v>
      </c>
      <c r="AA391">
        <v>1000</v>
      </c>
      <c r="AB391" t="s">
        <v>86</v>
      </c>
      <c r="AC391" t="s">
        <v>52</v>
      </c>
      <c r="AD391">
        <v>2</v>
      </c>
      <c r="AE391">
        <v>0.1</v>
      </c>
      <c r="AF391">
        <v>0.41199999999999998</v>
      </c>
      <c r="AG391">
        <v>-1505</v>
      </c>
      <c r="AH391">
        <v>-1</v>
      </c>
      <c r="AI391">
        <v>0.18099999999999999</v>
      </c>
      <c r="AJ391">
        <v>0.33200000000000002</v>
      </c>
      <c r="AK391">
        <v>-340</v>
      </c>
      <c r="AL391">
        <v>30</v>
      </c>
      <c r="AM391" t="s">
        <v>44</v>
      </c>
      <c r="AN391">
        <v>9.6</v>
      </c>
      <c r="AO391" t="s">
        <v>88</v>
      </c>
      <c r="AP391">
        <v>1</v>
      </c>
      <c r="AQ391">
        <v>51</v>
      </c>
    </row>
    <row r="392" spans="1:43" x14ac:dyDescent="0.2">
      <c r="A392" t="s">
        <v>77</v>
      </c>
      <c r="B392" t="s">
        <v>78</v>
      </c>
      <c r="C392">
        <v>114.19</v>
      </c>
      <c r="D392" t="s">
        <v>44</v>
      </c>
      <c r="G392" t="s">
        <v>44</v>
      </c>
      <c r="H392">
        <v>1.5</v>
      </c>
      <c r="I392" t="s">
        <v>45</v>
      </c>
      <c r="J392" t="s">
        <v>46</v>
      </c>
      <c r="K392">
        <v>265.5</v>
      </c>
      <c r="L392">
        <v>0.15</v>
      </c>
      <c r="M392" t="s">
        <v>47</v>
      </c>
      <c r="N392" t="s">
        <v>44</v>
      </c>
      <c r="O392" t="s">
        <v>44</v>
      </c>
      <c r="P392" t="s">
        <v>44</v>
      </c>
      <c r="Q392" t="s">
        <v>44</v>
      </c>
      <c r="R392">
        <v>1.65</v>
      </c>
      <c r="S392" s="5">
        <f t="shared" si="6"/>
        <v>23.25</v>
      </c>
      <c r="T392" t="s">
        <v>44</v>
      </c>
      <c r="U392" t="s">
        <v>44</v>
      </c>
      <c r="V392" t="s">
        <v>48</v>
      </c>
      <c r="W392" t="s">
        <v>44</v>
      </c>
      <c r="X392">
        <v>5</v>
      </c>
      <c r="Y392">
        <v>80</v>
      </c>
      <c r="Z392">
        <v>6</v>
      </c>
      <c r="AA392">
        <v>2000</v>
      </c>
      <c r="AB392" t="s">
        <v>49</v>
      </c>
      <c r="AC392" t="s">
        <v>50</v>
      </c>
      <c r="AD392">
        <v>1</v>
      </c>
      <c r="AE392">
        <v>0.10199999999999999</v>
      </c>
      <c r="AF392">
        <v>0.35799999999999998</v>
      </c>
      <c r="AG392">
        <v>-365</v>
      </c>
      <c r="AH392">
        <v>-2</v>
      </c>
      <c r="AI392">
        <v>0.23</v>
      </c>
      <c r="AJ392">
        <v>0.379</v>
      </c>
      <c r="AK392">
        <v>-1080</v>
      </c>
      <c r="AL392">
        <v>15</v>
      </c>
      <c r="AM392" t="s">
        <v>44</v>
      </c>
      <c r="AN392">
        <v>9.6</v>
      </c>
      <c r="AO392" t="s">
        <v>80</v>
      </c>
      <c r="AP392">
        <v>1</v>
      </c>
      <c r="AQ392">
        <v>52</v>
      </c>
    </row>
    <row r="393" spans="1:43" x14ac:dyDescent="0.2">
      <c r="A393" t="s">
        <v>42</v>
      </c>
      <c r="B393" t="s">
        <v>43</v>
      </c>
      <c r="C393">
        <v>86.14</v>
      </c>
      <c r="D393" t="s">
        <v>44</v>
      </c>
      <c r="G393" t="s">
        <v>44</v>
      </c>
      <c r="H393">
        <v>1.5</v>
      </c>
      <c r="I393" t="s">
        <v>45</v>
      </c>
      <c r="J393" t="s">
        <v>46</v>
      </c>
      <c r="K393">
        <v>265.5</v>
      </c>
      <c r="L393">
        <v>0.15</v>
      </c>
      <c r="M393" t="s">
        <v>47</v>
      </c>
      <c r="N393" t="s">
        <v>44</v>
      </c>
      <c r="O393" t="s">
        <v>44</v>
      </c>
      <c r="P393" t="s">
        <v>44</v>
      </c>
      <c r="Q393" t="s">
        <v>44</v>
      </c>
      <c r="R393">
        <v>1.65</v>
      </c>
      <c r="S393" s="5">
        <f t="shared" si="6"/>
        <v>30.82</v>
      </c>
      <c r="T393" t="s">
        <v>44</v>
      </c>
      <c r="U393" t="s">
        <v>44</v>
      </c>
      <c r="V393" t="s">
        <v>48</v>
      </c>
      <c r="W393" t="s">
        <v>44</v>
      </c>
      <c r="X393">
        <v>8</v>
      </c>
      <c r="Y393">
        <v>70</v>
      </c>
      <c r="Z393">
        <v>6</v>
      </c>
      <c r="AA393">
        <v>2000</v>
      </c>
      <c r="AB393" t="s">
        <v>49</v>
      </c>
      <c r="AC393" t="s">
        <v>50</v>
      </c>
      <c r="AD393">
        <v>1</v>
      </c>
      <c r="AE393">
        <v>0.10199999999999999</v>
      </c>
      <c r="AF393">
        <v>0.35799999999999998</v>
      </c>
      <c r="AG393">
        <v>-365</v>
      </c>
      <c r="AH393">
        <v>-2</v>
      </c>
      <c r="AI393">
        <v>0.23</v>
      </c>
      <c r="AJ393">
        <v>0.379</v>
      </c>
      <c r="AK393">
        <v>-1080</v>
      </c>
      <c r="AL393">
        <v>10</v>
      </c>
      <c r="AM393" t="s">
        <v>44</v>
      </c>
      <c r="AN393">
        <v>9.6999999999999993</v>
      </c>
      <c r="AO393" t="s">
        <v>100</v>
      </c>
      <c r="AP393">
        <v>1</v>
      </c>
      <c r="AQ393">
        <v>48</v>
      </c>
    </row>
    <row r="394" spans="1:43" x14ac:dyDescent="0.2">
      <c r="A394" t="s">
        <v>42</v>
      </c>
      <c r="B394" t="s">
        <v>43</v>
      </c>
      <c r="C394">
        <v>86.14</v>
      </c>
      <c r="D394" t="s">
        <v>44</v>
      </c>
      <c r="G394" t="s">
        <v>44</v>
      </c>
      <c r="H394">
        <v>0.25</v>
      </c>
      <c r="I394" t="s">
        <v>45</v>
      </c>
      <c r="J394" t="s">
        <v>46</v>
      </c>
      <c r="K394">
        <v>265.5</v>
      </c>
      <c r="L394">
        <v>0.30399999999999999</v>
      </c>
      <c r="M394" t="s">
        <v>47</v>
      </c>
      <c r="N394" t="s">
        <v>61</v>
      </c>
      <c r="O394">
        <v>1.5</v>
      </c>
      <c r="P394" t="s">
        <v>44</v>
      </c>
      <c r="Q394" t="s">
        <v>44</v>
      </c>
      <c r="R394">
        <v>0.55400000000000005</v>
      </c>
      <c r="S394" s="5">
        <f t="shared" si="6"/>
        <v>2.5299999999999998</v>
      </c>
      <c r="T394" t="s">
        <v>44</v>
      </c>
      <c r="U394" t="s">
        <v>44</v>
      </c>
      <c r="V394" t="s">
        <v>48</v>
      </c>
      <c r="W394" t="s">
        <v>44</v>
      </c>
      <c r="X394">
        <v>30</v>
      </c>
      <c r="Y394">
        <v>60</v>
      </c>
      <c r="Z394">
        <v>4</v>
      </c>
      <c r="AA394">
        <v>1000</v>
      </c>
      <c r="AB394" t="s">
        <v>69</v>
      </c>
      <c r="AC394" t="s">
        <v>50</v>
      </c>
      <c r="AD394">
        <v>2</v>
      </c>
      <c r="AE394">
        <v>7.1999999999999995E-2</v>
      </c>
      <c r="AF394">
        <v>0.42799999999999999</v>
      </c>
      <c r="AG394">
        <v>-1830</v>
      </c>
      <c r="AH394">
        <v>-2</v>
      </c>
      <c r="AI394">
        <v>0.23</v>
      </c>
      <c r="AJ394">
        <v>0.379</v>
      </c>
      <c r="AK394">
        <v>-1080</v>
      </c>
      <c r="AL394">
        <v>30</v>
      </c>
      <c r="AM394" t="s">
        <v>44</v>
      </c>
      <c r="AN394">
        <v>9.6999999999999993</v>
      </c>
      <c r="AO394" t="s">
        <v>88</v>
      </c>
      <c r="AP394">
        <v>1</v>
      </c>
      <c r="AQ394">
        <v>49</v>
      </c>
    </row>
    <row r="395" spans="1:43" x14ac:dyDescent="0.2">
      <c r="A395" t="s">
        <v>96</v>
      </c>
      <c r="B395" t="s">
        <v>97</v>
      </c>
      <c r="C395">
        <v>116.17</v>
      </c>
      <c r="D395" t="s">
        <v>44</v>
      </c>
      <c r="G395" t="s">
        <v>44</v>
      </c>
      <c r="H395">
        <v>2</v>
      </c>
      <c r="I395" t="s">
        <v>45</v>
      </c>
      <c r="J395" t="s">
        <v>46</v>
      </c>
      <c r="K395">
        <v>265.5</v>
      </c>
      <c r="L395">
        <v>0.13</v>
      </c>
      <c r="M395" t="s">
        <v>98</v>
      </c>
      <c r="N395" t="s">
        <v>44</v>
      </c>
      <c r="O395" t="s">
        <v>44</v>
      </c>
      <c r="P395" t="s">
        <v>44</v>
      </c>
      <c r="Q395" t="s">
        <v>44</v>
      </c>
      <c r="R395">
        <v>2.13</v>
      </c>
      <c r="S395" s="5">
        <f t="shared" si="6"/>
        <v>35.159999999999997</v>
      </c>
      <c r="T395" t="s">
        <v>44</v>
      </c>
      <c r="U395" t="s">
        <v>44</v>
      </c>
      <c r="V395" t="s">
        <v>48</v>
      </c>
      <c r="W395" t="s">
        <v>44</v>
      </c>
      <c r="X395" t="s">
        <v>44</v>
      </c>
      <c r="Y395">
        <v>25</v>
      </c>
      <c r="Z395">
        <v>10</v>
      </c>
      <c r="AA395">
        <v>3000</v>
      </c>
      <c r="AB395" t="s">
        <v>49</v>
      </c>
      <c r="AC395" t="s">
        <v>50</v>
      </c>
      <c r="AD395">
        <v>1</v>
      </c>
      <c r="AE395">
        <v>0.10199999999999999</v>
      </c>
      <c r="AF395">
        <v>0.35799999999999998</v>
      </c>
      <c r="AG395">
        <v>-365</v>
      </c>
      <c r="AH395">
        <v>-2</v>
      </c>
      <c r="AI395">
        <v>0.23</v>
      </c>
      <c r="AJ395">
        <v>0.379</v>
      </c>
      <c r="AK395">
        <v>-1080</v>
      </c>
      <c r="AL395">
        <v>10</v>
      </c>
      <c r="AM395" t="s">
        <v>44</v>
      </c>
      <c r="AN395">
        <v>9.9</v>
      </c>
      <c r="AO395" t="s">
        <v>99</v>
      </c>
      <c r="AP395">
        <v>1</v>
      </c>
      <c r="AQ395">
        <v>45</v>
      </c>
    </row>
    <row r="396" spans="1:43" x14ac:dyDescent="0.2">
      <c r="A396" t="s">
        <v>42</v>
      </c>
      <c r="B396" t="s">
        <v>43</v>
      </c>
      <c r="C396">
        <v>86.14</v>
      </c>
      <c r="D396" t="s">
        <v>44</v>
      </c>
      <c r="G396" t="s">
        <v>44</v>
      </c>
      <c r="H396">
        <v>0.25</v>
      </c>
      <c r="I396" t="s">
        <v>45</v>
      </c>
      <c r="J396" t="s">
        <v>46</v>
      </c>
      <c r="K396">
        <v>265.5</v>
      </c>
      <c r="L396">
        <v>0.30399999999999999</v>
      </c>
      <c r="M396" t="s">
        <v>47</v>
      </c>
      <c r="N396" t="s">
        <v>61</v>
      </c>
      <c r="O396">
        <v>1.5</v>
      </c>
      <c r="P396" t="s">
        <v>44</v>
      </c>
      <c r="Q396" t="s">
        <v>44</v>
      </c>
      <c r="R396">
        <v>0.55400000000000005</v>
      </c>
      <c r="S396" s="5">
        <f t="shared" si="6"/>
        <v>2.5299999999999998</v>
      </c>
      <c r="T396" t="s">
        <v>44</v>
      </c>
      <c r="U396" t="s">
        <v>44</v>
      </c>
      <c r="V396" t="s">
        <v>48</v>
      </c>
      <c r="W396" t="s">
        <v>44</v>
      </c>
      <c r="X396">
        <v>30</v>
      </c>
      <c r="Y396">
        <v>60</v>
      </c>
      <c r="Z396">
        <v>4</v>
      </c>
      <c r="AA396">
        <v>1000</v>
      </c>
      <c r="AB396" t="s">
        <v>69</v>
      </c>
      <c r="AC396" t="s">
        <v>52</v>
      </c>
      <c r="AD396">
        <v>2</v>
      </c>
      <c r="AE396">
        <v>7.1999999999999995E-2</v>
      </c>
      <c r="AF396">
        <v>0.42799999999999999</v>
      </c>
      <c r="AG396">
        <v>-1830</v>
      </c>
      <c r="AH396">
        <v>-1</v>
      </c>
      <c r="AI396">
        <v>0.18099999999999999</v>
      </c>
      <c r="AJ396">
        <v>0.33200000000000002</v>
      </c>
      <c r="AK396">
        <v>-340</v>
      </c>
      <c r="AL396">
        <v>30</v>
      </c>
      <c r="AM396" t="s">
        <v>44</v>
      </c>
      <c r="AN396">
        <v>9.9</v>
      </c>
      <c r="AO396" t="s">
        <v>88</v>
      </c>
      <c r="AP396">
        <v>1</v>
      </c>
      <c r="AQ396">
        <v>47</v>
      </c>
    </row>
    <row r="397" spans="1:43" x14ac:dyDescent="0.2">
      <c r="A397" t="s">
        <v>59</v>
      </c>
      <c r="B397" t="s">
        <v>60</v>
      </c>
      <c r="C397">
        <v>43.1</v>
      </c>
      <c r="D397" t="s">
        <v>42</v>
      </c>
      <c r="E397" t="s">
        <v>43</v>
      </c>
      <c r="F397">
        <v>86.14</v>
      </c>
      <c r="G397">
        <v>0.4</v>
      </c>
      <c r="H397">
        <v>3</v>
      </c>
      <c r="I397" t="s">
        <v>45</v>
      </c>
      <c r="J397" t="s">
        <v>46</v>
      </c>
      <c r="K397">
        <v>265.5</v>
      </c>
      <c r="L397">
        <v>0.6</v>
      </c>
      <c r="M397" t="s">
        <v>47</v>
      </c>
      <c r="N397" t="s">
        <v>44</v>
      </c>
      <c r="O397" t="s">
        <v>44</v>
      </c>
      <c r="P397" t="s">
        <v>44</v>
      </c>
      <c r="Q397" t="s">
        <v>44</v>
      </c>
      <c r="R397">
        <v>3.6</v>
      </c>
      <c r="S397" s="5">
        <f t="shared" si="6"/>
        <v>19.809999999999999</v>
      </c>
      <c r="T397">
        <v>9.5</v>
      </c>
      <c r="U397" t="s">
        <v>44</v>
      </c>
      <c r="V397" t="s">
        <v>48</v>
      </c>
      <c r="W397" t="s">
        <v>44</v>
      </c>
      <c r="X397">
        <v>20</v>
      </c>
      <c r="Y397">
        <v>75</v>
      </c>
      <c r="Z397">
        <v>8</v>
      </c>
      <c r="AA397">
        <v>500</v>
      </c>
      <c r="AB397" t="s">
        <v>49</v>
      </c>
      <c r="AC397" t="s">
        <v>52</v>
      </c>
      <c r="AD397">
        <v>1</v>
      </c>
      <c r="AE397">
        <v>0.10199999999999999</v>
      </c>
      <c r="AF397">
        <v>0.35799999999999998</v>
      </c>
      <c r="AG397">
        <v>-365</v>
      </c>
      <c r="AH397">
        <v>-1</v>
      </c>
      <c r="AI397">
        <v>0.18099999999999999</v>
      </c>
      <c r="AJ397">
        <v>0.33200000000000002</v>
      </c>
      <c r="AK397">
        <v>-340</v>
      </c>
      <c r="AL397">
        <v>1800</v>
      </c>
      <c r="AM397" t="s">
        <v>44</v>
      </c>
      <c r="AN397">
        <v>9.9</v>
      </c>
      <c r="AO397" t="s">
        <v>143</v>
      </c>
      <c r="AP397">
        <v>1</v>
      </c>
      <c r="AQ397">
        <v>282</v>
      </c>
    </row>
    <row r="398" spans="1:43" x14ac:dyDescent="0.2">
      <c r="A398" t="s">
        <v>67</v>
      </c>
      <c r="B398" t="s">
        <v>68</v>
      </c>
      <c r="C398">
        <v>210.27</v>
      </c>
      <c r="D398" t="s">
        <v>44</v>
      </c>
      <c r="G398" t="s">
        <v>44</v>
      </c>
      <c r="H398">
        <v>4</v>
      </c>
      <c r="I398" t="s">
        <v>45</v>
      </c>
      <c r="J398" t="s">
        <v>46</v>
      </c>
      <c r="K398">
        <v>265.5</v>
      </c>
      <c r="L398">
        <v>0.1</v>
      </c>
      <c r="M398" t="s">
        <v>47</v>
      </c>
      <c r="N398" t="s">
        <v>61</v>
      </c>
      <c r="O398">
        <v>0.1</v>
      </c>
      <c r="P398" t="s">
        <v>44</v>
      </c>
      <c r="Q398" t="s">
        <v>44</v>
      </c>
      <c r="R398">
        <v>4.0999999999999996</v>
      </c>
      <c r="S398" s="5">
        <f t="shared" si="6"/>
        <v>50.51</v>
      </c>
      <c r="T398" t="s">
        <v>44</v>
      </c>
      <c r="U398" t="s">
        <v>44</v>
      </c>
      <c r="V398" t="s">
        <v>48</v>
      </c>
      <c r="W398" t="s">
        <v>44</v>
      </c>
      <c r="X398">
        <v>15</v>
      </c>
      <c r="Y398">
        <v>80</v>
      </c>
      <c r="Z398">
        <v>4</v>
      </c>
      <c r="AA398">
        <v>2000</v>
      </c>
      <c r="AB398" t="s">
        <v>69</v>
      </c>
      <c r="AC398" t="s">
        <v>50</v>
      </c>
      <c r="AD398">
        <v>2</v>
      </c>
      <c r="AE398">
        <v>7.1999999999999995E-2</v>
      </c>
      <c r="AF398">
        <v>0.42799999999999999</v>
      </c>
      <c r="AG398">
        <v>-1830</v>
      </c>
      <c r="AH398">
        <v>-2</v>
      </c>
      <c r="AI398">
        <v>0.23</v>
      </c>
      <c r="AJ398">
        <v>0.379</v>
      </c>
      <c r="AK398">
        <v>-1080</v>
      </c>
      <c r="AL398">
        <v>180</v>
      </c>
      <c r="AM398" t="s">
        <v>44</v>
      </c>
      <c r="AN398">
        <v>10</v>
      </c>
      <c r="AO398" t="s">
        <v>70</v>
      </c>
      <c r="AP398">
        <v>1</v>
      </c>
      <c r="AQ398">
        <v>44</v>
      </c>
    </row>
    <row r="399" spans="1:43" x14ac:dyDescent="0.2">
      <c r="A399" t="s">
        <v>42</v>
      </c>
      <c r="B399" t="s">
        <v>43</v>
      </c>
      <c r="C399">
        <v>86.14</v>
      </c>
      <c r="D399" t="s">
        <v>44</v>
      </c>
      <c r="G399" t="s">
        <v>44</v>
      </c>
      <c r="H399">
        <v>2</v>
      </c>
      <c r="I399" t="s">
        <v>45</v>
      </c>
      <c r="J399" t="s">
        <v>46</v>
      </c>
      <c r="K399">
        <v>265.5</v>
      </c>
      <c r="L399">
        <v>0.2</v>
      </c>
      <c r="M399" t="s">
        <v>47</v>
      </c>
      <c r="N399" t="s">
        <v>44</v>
      </c>
      <c r="O399" t="s">
        <v>44</v>
      </c>
      <c r="P399" t="s">
        <v>44</v>
      </c>
      <c r="Q399" t="s">
        <v>44</v>
      </c>
      <c r="R399">
        <v>2.2000000000000002</v>
      </c>
      <c r="S399" s="5">
        <f t="shared" si="6"/>
        <v>30.82</v>
      </c>
      <c r="T399" t="s">
        <v>44</v>
      </c>
      <c r="U399" t="s">
        <v>44</v>
      </c>
      <c r="V399" t="s">
        <v>48</v>
      </c>
      <c r="W399" t="s">
        <v>44</v>
      </c>
      <c r="X399">
        <v>3</v>
      </c>
      <c r="Y399">
        <v>80</v>
      </c>
      <c r="Z399">
        <v>10</v>
      </c>
      <c r="AA399">
        <v>1000</v>
      </c>
      <c r="AB399" t="s">
        <v>69</v>
      </c>
      <c r="AC399" t="s">
        <v>50</v>
      </c>
      <c r="AD399">
        <v>2</v>
      </c>
      <c r="AE399">
        <v>7.1999999999999995E-2</v>
      </c>
      <c r="AF399">
        <v>0.42799999999999999</v>
      </c>
      <c r="AG399">
        <v>-1830</v>
      </c>
      <c r="AH399">
        <v>-2</v>
      </c>
      <c r="AI399">
        <v>0.23</v>
      </c>
      <c r="AJ399">
        <v>0.379</v>
      </c>
      <c r="AK399">
        <v>-1080</v>
      </c>
      <c r="AL399">
        <v>40</v>
      </c>
      <c r="AM399">
        <v>25.5</v>
      </c>
      <c r="AN399">
        <v>10.1</v>
      </c>
      <c r="AO399" t="s">
        <v>93</v>
      </c>
      <c r="AP399">
        <v>1</v>
      </c>
      <c r="AQ399">
        <v>42</v>
      </c>
    </row>
    <row r="400" spans="1:43" x14ac:dyDescent="0.2">
      <c r="A400" t="s">
        <v>42</v>
      </c>
      <c r="B400" t="s">
        <v>43</v>
      </c>
      <c r="C400">
        <v>86.14</v>
      </c>
      <c r="D400" t="s">
        <v>44</v>
      </c>
      <c r="G400" t="s">
        <v>44</v>
      </c>
      <c r="H400">
        <v>2</v>
      </c>
      <c r="I400" t="s">
        <v>45</v>
      </c>
      <c r="J400" t="s">
        <v>46</v>
      </c>
      <c r="K400">
        <v>265.5</v>
      </c>
      <c r="L400">
        <v>0.2</v>
      </c>
      <c r="M400" t="s">
        <v>47</v>
      </c>
      <c r="N400" t="s">
        <v>44</v>
      </c>
      <c r="O400" t="s">
        <v>44</v>
      </c>
      <c r="P400" t="s">
        <v>44</v>
      </c>
      <c r="Q400" t="s">
        <v>44</v>
      </c>
      <c r="R400">
        <v>2.2000000000000002</v>
      </c>
      <c r="S400" s="5">
        <f t="shared" si="6"/>
        <v>30.82</v>
      </c>
      <c r="T400" t="s">
        <v>44</v>
      </c>
      <c r="U400" t="s">
        <v>44</v>
      </c>
      <c r="V400" t="s">
        <v>48</v>
      </c>
      <c r="W400" t="s">
        <v>44</v>
      </c>
      <c r="X400">
        <v>3</v>
      </c>
      <c r="Y400">
        <v>80</v>
      </c>
      <c r="Z400">
        <v>10</v>
      </c>
      <c r="AA400">
        <v>1000</v>
      </c>
      <c r="AB400" t="s">
        <v>69</v>
      </c>
      <c r="AC400" t="s">
        <v>50</v>
      </c>
      <c r="AD400">
        <v>2</v>
      </c>
      <c r="AE400">
        <v>7.1999999999999995E-2</v>
      </c>
      <c r="AF400">
        <v>0.42799999999999999</v>
      </c>
      <c r="AG400">
        <v>-1830</v>
      </c>
      <c r="AH400">
        <v>-2</v>
      </c>
      <c r="AI400">
        <v>0.23</v>
      </c>
      <c r="AJ400">
        <v>0.379</v>
      </c>
      <c r="AK400">
        <v>-1080</v>
      </c>
      <c r="AL400">
        <v>40</v>
      </c>
      <c r="AM400">
        <v>25.5</v>
      </c>
      <c r="AN400">
        <v>10.1</v>
      </c>
      <c r="AO400" t="s">
        <v>93</v>
      </c>
      <c r="AP400">
        <v>1</v>
      </c>
      <c r="AQ400">
        <v>43</v>
      </c>
    </row>
    <row r="401" spans="1:43" x14ac:dyDescent="0.2">
      <c r="A401" t="s">
        <v>42</v>
      </c>
      <c r="B401" t="s">
        <v>43</v>
      </c>
      <c r="C401">
        <v>86.14</v>
      </c>
      <c r="D401" t="s">
        <v>44</v>
      </c>
      <c r="G401" t="s">
        <v>44</v>
      </c>
      <c r="H401">
        <v>0.5</v>
      </c>
      <c r="I401" t="s">
        <v>45</v>
      </c>
      <c r="J401" t="s">
        <v>46</v>
      </c>
      <c r="K401">
        <v>265.5</v>
      </c>
      <c r="L401">
        <v>0.22800000000000001</v>
      </c>
      <c r="M401" t="s">
        <v>47</v>
      </c>
      <c r="N401" t="s">
        <v>81</v>
      </c>
      <c r="O401">
        <v>0.1</v>
      </c>
      <c r="P401" t="s">
        <v>44</v>
      </c>
      <c r="Q401" t="s">
        <v>44</v>
      </c>
      <c r="R401">
        <v>0.72799999999999998</v>
      </c>
      <c r="S401" s="5">
        <f t="shared" si="6"/>
        <v>6.76</v>
      </c>
      <c r="T401" t="s">
        <v>44</v>
      </c>
      <c r="U401" t="s">
        <v>44</v>
      </c>
      <c r="V401" t="s">
        <v>48</v>
      </c>
      <c r="W401" t="s">
        <v>44</v>
      </c>
      <c r="X401">
        <v>5</v>
      </c>
      <c r="Y401">
        <v>80</v>
      </c>
      <c r="Z401">
        <v>6</v>
      </c>
      <c r="AA401">
        <v>2000</v>
      </c>
      <c r="AB401" t="s">
        <v>49</v>
      </c>
      <c r="AC401" t="s">
        <v>50</v>
      </c>
      <c r="AD401">
        <v>1</v>
      </c>
      <c r="AE401">
        <v>0.10199999999999999</v>
      </c>
      <c r="AF401">
        <v>0.35799999999999998</v>
      </c>
      <c r="AG401">
        <v>-365</v>
      </c>
      <c r="AH401">
        <v>-2</v>
      </c>
      <c r="AI401">
        <v>0.23</v>
      </c>
      <c r="AJ401">
        <v>0.379</v>
      </c>
      <c r="AK401">
        <v>-1080</v>
      </c>
      <c r="AL401">
        <v>15</v>
      </c>
      <c r="AM401" t="s">
        <v>44</v>
      </c>
      <c r="AN401">
        <v>10.199999999999999</v>
      </c>
      <c r="AO401" t="s">
        <v>82</v>
      </c>
      <c r="AP401">
        <v>1</v>
      </c>
      <c r="AQ401">
        <v>40</v>
      </c>
    </row>
    <row r="402" spans="1:43" x14ac:dyDescent="0.2">
      <c r="A402" t="s">
        <v>42</v>
      </c>
      <c r="B402" t="s">
        <v>43</v>
      </c>
      <c r="C402">
        <v>86.14</v>
      </c>
      <c r="D402" t="s">
        <v>44</v>
      </c>
      <c r="G402" t="s">
        <v>44</v>
      </c>
      <c r="H402">
        <v>0.25</v>
      </c>
      <c r="I402" t="s">
        <v>45</v>
      </c>
      <c r="J402" t="s">
        <v>46</v>
      </c>
      <c r="K402">
        <v>265.5</v>
      </c>
      <c r="L402">
        <v>0.30399999999999999</v>
      </c>
      <c r="M402" t="s">
        <v>47</v>
      </c>
      <c r="N402" t="s">
        <v>61</v>
      </c>
      <c r="O402">
        <v>1.5</v>
      </c>
      <c r="P402" t="s">
        <v>44</v>
      </c>
      <c r="Q402" t="s">
        <v>44</v>
      </c>
      <c r="R402">
        <v>0.55400000000000005</v>
      </c>
      <c r="S402" s="5">
        <f t="shared" si="6"/>
        <v>2.5299999999999998</v>
      </c>
      <c r="T402" t="s">
        <v>44</v>
      </c>
      <c r="U402" t="s">
        <v>44</v>
      </c>
      <c r="V402" t="s">
        <v>48</v>
      </c>
      <c r="W402" t="s">
        <v>44</v>
      </c>
      <c r="X402">
        <v>30</v>
      </c>
      <c r="Y402">
        <v>60</v>
      </c>
      <c r="Z402">
        <v>4</v>
      </c>
      <c r="AA402">
        <v>1000</v>
      </c>
      <c r="AB402" t="s">
        <v>86</v>
      </c>
      <c r="AC402" t="s">
        <v>52</v>
      </c>
      <c r="AD402">
        <v>2</v>
      </c>
      <c r="AE402">
        <v>0.1</v>
      </c>
      <c r="AF402">
        <v>0.41199999999999998</v>
      </c>
      <c r="AG402">
        <v>-1505</v>
      </c>
      <c r="AH402">
        <v>-1</v>
      </c>
      <c r="AI402">
        <v>0.18099999999999999</v>
      </c>
      <c r="AJ402">
        <v>0.33200000000000002</v>
      </c>
      <c r="AK402">
        <v>-340</v>
      </c>
      <c r="AL402">
        <v>30</v>
      </c>
      <c r="AM402" t="s">
        <v>44</v>
      </c>
      <c r="AN402">
        <v>10.199999999999999</v>
      </c>
      <c r="AO402" t="s">
        <v>88</v>
      </c>
      <c r="AP402">
        <v>1</v>
      </c>
      <c r="AQ402">
        <v>41</v>
      </c>
    </row>
    <row r="403" spans="1:43" x14ac:dyDescent="0.2">
      <c r="A403" t="s">
        <v>42</v>
      </c>
      <c r="B403" t="s">
        <v>43</v>
      </c>
      <c r="C403">
        <v>86.14</v>
      </c>
      <c r="D403" t="s">
        <v>44</v>
      </c>
      <c r="G403" t="s">
        <v>44</v>
      </c>
      <c r="H403">
        <v>1</v>
      </c>
      <c r="I403" t="s">
        <v>45</v>
      </c>
      <c r="J403" t="s">
        <v>46</v>
      </c>
      <c r="K403">
        <v>265.5</v>
      </c>
      <c r="L403">
        <v>0.22800000000000001</v>
      </c>
      <c r="M403" t="s">
        <v>47</v>
      </c>
      <c r="N403" t="s">
        <v>81</v>
      </c>
      <c r="O403">
        <v>0.5</v>
      </c>
      <c r="P403" t="s">
        <v>44</v>
      </c>
      <c r="Q403" t="s">
        <v>44</v>
      </c>
      <c r="R403">
        <v>1.228</v>
      </c>
      <c r="S403" s="5">
        <f t="shared" si="6"/>
        <v>13.52</v>
      </c>
      <c r="T403" t="s">
        <v>44</v>
      </c>
      <c r="U403" t="s">
        <v>44</v>
      </c>
      <c r="V403" t="s">
        <v>48</v>
      </c>
      <c r="W403" t="s">
        <v>44</v>
      </c>
      <c r="X403">
        <v>5</v>
      </c>
      <c r="Y403">
        <v>80</v>
      </c>
      <c r="Z403">
        <v>6</v>
      </c>
      <c r="AA403">
        <v>2000</v>
      </c>
      <c r="AB403" t="s">
        <v>49</v>
      </c>
      <c r="AC403" t="s">
        <v>50</v>
      </c>
      <c r="AD403">
        <v>1</v>
      </c>
      <c r="AE403">
        <v>0.10199999999999999</v>
      </c>
      <c r="AF403">
        <v>0.35799999999999998</v>
      </c>
      <c r="AG403">
        <v>-365</v>
      </c>
      <c r="AH403">
        <v>-2</v>
      </c>
      <c r="AI403">
        <v>0.23</v>
      </c>
      <c r="AJ403">
        <v>0.379</v>
      </c>
      <c r="AK403">
        <v>-1080</v>
      </c>
      <c r="AL403">
        <v>15</v>
      </c>
      <c r="AM403" t="s">
        <v>44</v>
      </c>
      <c r="AN403">
        <v>10.3</v>
      </c>
      <c r="AO403" t="s">
        <v>82</v>
      </c>
      <c r="AP403">
        <v>1</v>
      </c>
      <c r="AQ403">
        <v>37</v>
      </c>
    </row>
    <row r="404" spans="1:43" x14ac:dyDescent="0.2">
      <c r="A404" t="s">
        <v>42</v>
      </c>
      <c r="B404" t="s">
        <v>43</v>
      </c>
      <c r="C404">
        <v>86.14</v>
      </c>
      <c r="D404" t="s">
        <v>44</v>
      </c>
      <c r="G404" t="s">
        <v>44</v>
      </c>
      <c r="H404">
        <v>1</v>
      </c>
      <c r="I404" t="s">
        <v>45</v>
      </c>
      <c r="J404" t="s">
        <v>46</v>
      </c>
      <c r="K404">
        <v>265.5</v>
      </c>
      <c r="L404">
        <v>0.22800000000000001</v>
      </c>
      <c r="M404" t="s">
        <v>47</v>
      </c>
      <c r="N404" t="s">
        <v>81</v>
      </c>
      <c r="O404">
        <v>0.1</v>
      </c>
      <c r="P404" t="s">
        <v>44</v>
      </c>
      <c r="Q404" t="s">
        <v>44</v>
      </c>
      <c r="R404">
        <v>1.228</v>
      </c>
      <c r="S404" s="5">
        <f t="shared" si="6"/>
        <v>13.52</v>
      </c>
      <c r="T404" t="s">
        <v>44</v>
      </c>
      <c r="U404" t="s">
        <v>44</v>
      </c>
      <c r="V404" t="s">
        <v>48</v>
      </c>
      <c r="W404" t="s">
        <v>44</v>
      </c>
      <c r="X404">
        <v>5</v>
      </c>
      <c r="Y404">
        <v>80</v>
      </c>
      <c r="Z404">
        <v>6</v>
      </c>
      <c r="AA404">
        <v>2000</v>
      </c>
      <c r="AB404" t="s">
        <v>49</v>
      </c>
      <c r="AC404" t="s">
        <v>50</v>
      </c>
      <c r="AD404">
        <v>1</v>
      </c>
      <c r="AE404">
        <v>0.10199999999999999</v>
      </c>
      <c r="AF404">
        <v>0.35799999999999998</v>
      </c>
      <c r="AG404">
        <v>-365</v>
      </c>
      <c r="AH404">
        <v>-2</v>
      </c>
      <c r="AI404">
        <v>0.23</v>
      </c>
      <c r="AJ404">
        <v>0.379</v>
      </c>
      <c r="AK404">
        <v>-1080</v>
      </c>
      <c r="AL404">
        <v>10</v>
      </c>
      <c r="AM404" t="s">
        <v>44</v>
      </c>
      <c r="AN404">
        <v>10.3</v>
      </c>
      <c r="AO404" t="s">
        <v>82</v>
      </c>
      <c r="AP404">
        <v>1</v>
      </c>
      <c r="AQ404">
        <v>38</v>
      </c>
    </row>
    <row r="405" spans="1:43" x14ac:dyDescent="0.2">
      <c r="A405" t="s">
        <v>67</v>
      </c>
      <c r="B405" t="s">
        <v>68</v>
      </c>
      <c r="C405">
        <v>210.27</v>
      </c>
      <c r="D405" t="s">
        <v>44</v>
      </c>
      <c r="G405" t="s">
        <v>44</v>
      </c>
      <c r="H405">
        <v>3</v>
      </c>
      <c r="I405" t="s">
        <v>45</v>
      </c>
      <c r="J405" t="s">
        <v>46</v>
      </c>
      <c r="K405">
        <v>265.5</v>
      </c>
      <c r="L405">
        <v>0.2</v>
      </c>
      <c r="M405" t="s">
        <v>47</v>
      </c>
      <c r="N405" t="s">
        <v>61</v>
      </c>
      <c r="O405">
        <v>0.1</v>
      </c>
      <c r="P405" t="s">
        <v>44</v>
      </c>
      <c r="Q405" t="s">
        <v>44</v>
      </c>
      <c r="R405">
        <v>3.2</v>
      </c>
      <c r="S405" s="5">
        <f t="shared" si="6"/>
        <v>18.940000000000001</v>
      </c>
      <c r="T405" t="s">
        <v>44</v>
      </c>
      <c r="U405" t="s">
        <v>44</v>
      </c>
      <c r="V405" t="s">
        <v>48</v>
      </c>
      <c r="W405" t="s">
        <v>44</v>
      </c>
      <c r="X405">
        <v>15</v>
      </c>
      <c r="Y405">
        <v>80</v>
      </c>
      <c r="Z405">
        <v>4</v>
      </c>
      <c r="AA405">
        <v>2000</v>
      </c>
      <c r="AB405" t="s">
        <v>69</v>
      </c>
      <c r="AC405" t="s">
        <v>50</v>
      </c>
      <c r="AD405">
        <v>2</v>
      </c>
      <c r="AE405">
        <v>7.1999999999999995E-2</v>
      </c>
      <c r="AF405">
        <v>0.42799999999999999</v>
      </c>
      <c r="AG405">
        <v>-1830</v>
      </c>
      <c r="AH405">
        <v>-2</v>
      </c>
      <c r="AI405">
        <v>0.23</v>
      </c>
      <c r="AJ405">
        <v>0.379</v>
      </c>
      <c r="AK405">
        <v>-1080</v>
      </c>
      <c r="AL405">
        <v>180</v>
      </c>
      <c r="AM405" t="s">
        <v>44</v>
      </c>
      <c r="AN405">
        <v>10.3</v>
      </c>
      <c r="AO405" t="s">
        <v>70</v>
      </c>
      <c r="AP405">
        <v>1</v>
      </c>
      <c r="AQ405">
        <v>39</v>
      </c>
    </row>
    <row r="406" spans="1:43" x14ac:dyDescent="0.2">
      <c r="A406" t="s">
        <v>42</v>
      </c>
      <c r="B406" t="s">
        <v>43</v>
      </c>
      <c r="C406">
        <v>86.14</v>
      </c>
      <c r="D406" t="s">
        <v>44</v>
      </c>
      <c r="G406" t="s">
        <v>44</v>
      </c>
      <c r="H406">
        <v>0.1</v>
      </c>
      <c r="I406" t="s">
        <v>45</v>
      </c>
      <c r="J406" t="s">
        <v>46</v>
      </c>
      <c r="K406">
        <v>265.5</v>
      </c>
      <c r="L406">
        <v>0.15</v>
      </c>
      <c r="M406" t="s">
        <v>94</v>
      </c>
      <c r="N406" t="s">
        <v>44</v>
      </c>
      <c r="O406" t="s">
        <v>44</v>
      </c>
      <c r="P406" t="s">
        <v>44</v>
      </c>
      <c r="Q406" t="s">
        <v>44</v>
      </c>
      <c r="R406">
        <v>0.25</v>
      </c>
      <c r="S406" s="5">
        <f t="shared" si="6"/>
        <v>2.0499999999999998</v>
      </c>
      <c r="T406" t="s">
        <v>44</v>
      </c>
      <c r="U406" t="s">
        <v>44</v>
      </c>
      <c r="V406" t="s">
        <v>48</v>
      </c>
      <c r="W406" t="s">
        <v>44</v>
      </c>
      <c r="X406">
        <v>25</v>
      </c>
      <c r="Y406">
        <v>22</v>
      </c>
      <c r="Z406">
        <v>2</v>
      </c>
      <c r="AA406">
        <v>1000</v>
      </c>
      <c r="AB406" t="s">
        <v>49</v>
      </c>
      <c r="AC406" t="s">
        <v>50</v>
      </c>
      <c r="AD406">
        <v>1</v>
      </c>
      <c r="AE406">
        <v>0.10199999999999999</v>
      </c>
      <c r="AF406">
        <v>0.35799999999999998</v>
      </c>
      <c r="AG406">
        <v>-365</v>
      </c>
      <c r="AH406">
        <v>-2</v>
      </c>
      <c r="AI406">
        <v>0.23</v>
      </c>
      <c r="AJ406">
        <v>0.379</v>
      </c>
      <c r="AK406">
        <v>-1080</v>
      </c>
      <c r="AL406">
        <v>100</v>
      </c>
      <c r="AM406" t="s">
        <v>44</v>
      </c>
      <c r="AN406">
        <v>10.45</v>
      </c>
      <c r="AO406" t="s">
        <v>95</v>
      </c>
      <c r="AP406">
        <v>1</v>
      </c>
      <c r="AQ406">
        <v>36</v>
      </c>
    </row>
    <row r="407" spans="1:43" x14ac:dyDescent="0.2">
      <c r="A407" t="s">
        <v>42</v>
      </c>
      <c r="B407" t="s">
        <v>43</v>
      </c>
      <c r="C407">
        <v>86.14</v>
      </c>
      <c r="D407" t="s">
        <v>44</v>
      </c>
      <c r="G407" t="s">
        <v>44</v>
      </c>
      <c r="H407">
        <v>2</v>
      </c>
      <c r="I407" t="s">
        <v>45</v>
      </c>
      <c r="J407" t="s">
        <v>46</v>
      </c>
      <c r="K407">
        <v>265.5</v>
      </c>
      <c r="L407">
        <v>0.2</v>
      </c>
      <c r="M407" t="s">
        <v>47</v>
      </c>
      <c r="N407" t="s">
        <v>44</v>
      </c>
      <c r="O407" t="s">
        <v>44</v>
      </c>
      <c r="P407" t="s">
        <v>44</v>
      </c>
      <c r="Q407" t="s">
        <v>44</v>
      </c>
      <c r="R407">
        <v>2.2000000000000002</v>
      </c>
      <c r="S407" s="5">
        <f t="shared" si="6"/>
        <v>30.82</v>
      </c>
      <c r="T407" t="s">
        <v>44</v>
      </c>
      <c r="U407" t="s">
        <v>44</v>
      </c>
      <c r="V407" t="s">
        <v>48</v>
      </c>
      <c r="W407" t="s">
        <v>44</v>
      </c>
      <c r="X407">
        <v>3</v>
      </c>
      <c r="Y407">
        <v>80</v>
      </c>
      <c r="Z407">
        <v>5</v>
      </c>
      <c r="AA407">
        <v>1000</v>
      </c>
      <c r="AB407" t="s">
        <v>49</v>
      </c>
      <c r="AC407" t="s">
        <v>52</v>
      </c>
      <c r="AD407">
        <v>1</v>
      </c>
      <c r="AE407">
        <v>0.10199999999999999</v>
      </c>
      <c r="AF407">
        <v>0.35799999999999998</v>
      </c>
      <c r="AG407">
        <v>-365</v>
      </c>
      <c r="AH407">
        <v>-1</v>
      </c>
      <c r="AI407">
        <v>0.18099999999999999</v>
      </c>
      <c r="AJ407">
        <v>0.33200000000000002</v>
      </c>
      <c r="AK407">
        <v>-340</v>
      </c>
      <c r="AL407">
        <v>40</v>
      </c>
      <c r="AM407">
        <v>11.3</v>
      </c>
      <c r="AN407">
        <v>10.5</v>
      </c>
      <c r="AO407" t="s">
        <v>93</v>
      </c>
      <c r="AP407">
        <v>1</v>
      </c>
      <c r="AQ407">
        <v>34</v>
      </c>
    </row>
    <row r="408" spans="1:43" x14ac:dyDescent="0.2">
      <c r="A408" t="s">
        <v>42</v>
      </c>
      <c r="B408" t="s">
        <v>43</v>
      </c>
      <c r="C408">
        <v>86.14</v>
      </c>
      <c r="D408" t="s">
        <v>44</v>
      </c>
      <c r="G408" t="s">
        <v>44</v>
      </c>
      <c r="H408">
        <v>2</v>
      </c>
      <c r="I408" t="s">
        <v>45</v>
      </c>
      <c r="J408" t="s">
        <v>46</v>
      </c>
      <c r="K408">
        <v>265.5</v>
      </c>
      <c r="L408">
        <v>0.2</v>
      </c>
      <c r="M408" t="s">
        <v>47</v>
      </c>
      <c r="N408" t="s">
        <v>44</v>
      </c>
      <c r="O408" t="s">
        <v>44</v>
      </c>
      <c r="P408" t="s">
        <v>44</v>
      </c>
      <c r="Q408" t="s">
        <v>44</v>
      </c>
      <c r="R408">
        <v>2.2000000000000002</v>
      </c>
      <c r="S408" s="5">
        <f t="shared" si="6"/>
        <v>30.82</v>
      </c>
      <c r="T408" t="s">
        <v>44</v>
      </c>
      <c r="U408" t="s">
        <v>44</v>
      </c>
      <c r="V408" t="s">
        <v>48</v>
      </c>
      <c r="W408" t="s">
        <v>44</v>
      </c>
      <c r="X408">
        <v>3</v>
      </c>
      <c r="Y408">
        <v>80</v>
      </c>
      <c r="Z408">
        <v>5</v>
      </c>
      <c r="AA408">
        <v>1000</v>
      </c>
      <c r="AB408" t="s">
        <v>49</v>
      </c>
      <c r="AC408" t="s">
        <v>52</v>
      </c>
      <c r="AD408">
        <v>1</v>
      </c>
      <c r="AE408">
        <v>0.10199999999999999</v>
      </c>
      <c r="AF408">
        <v>0.35799999999999998</v>
      </c>
      <c r="AG408">
        <v>-365</v>
      </c>
      <c r="AH408">
        <v>-1</v>
      </c>
      <c r="AI408">
        <v>0.18099999999999999</v>
      </c>
      <c r="AJ408">
        <v>0.33200000000000002</v>
      </c>
      <c r="AK408">
        <v>-340</v>
      </c>
      <c r="AL408">
        <v>40</v>
      </c>
      <c r="AM408">
        <v>11.3</v>
      </c>
      <c r="AN408">
        <v>10.5</v>
      </c>
      <c r="AO408" t="s">
        <v>93</v>
      </c>
      <c r="AP408">
        <v>1</v>
      </c>
      <c r="AQ408">
        <v>35</v>
      </c>
    </row>
    <row r="409" spans="1:43" x14ac:dyDescent="0.2">
      <c r="A409" t="s">
        <v>42</v>
      </c>
      <c r="B409" t="s">
        <v>43</v>
      </c>
      <c r="C409">
        <v>86.14</v>
      </c>
      <c r="D409" t="s">
        <v>44</v>
      </c>
      <c r="G409" t="s">
        <v>44</v>
      </c>
      <c r="H409">
        <v>0.25</v>
      </c>
      <c r="I409" t="s">
        <v>45</v>
      </c>
      <c r="J409" t="s">
        <v>46</v>
      </c>
      <c r="K409">
        <v>265.5</v>
      </c>
      <c r="L409">
        <v>0.30399999999999999</v>
      </c>
      <c r="M409" t="s">
        <v>47</v>
      </c>
      <c r="N409" t="s">
        <v>61</v>
      </c>
      <c r="O409">
        <v>1</v>
      </c>
      <c r="P409" t="s">
        <v>44</v>
      </c>
      <c r="Q409" t="s">
        <v>44</v>
      </c>
      <c r="R409">
        <v>0.55400000000000005</v>
      </c>
      <c r="S409" s="5">
        <f t="shared" si="6"/>
        <v>2.5299999999999998</v>
      </c>
      <c r="T409" t="s">
        <v>44</v>
      </c>
      <c r="U409" t="s">
        <v>44</v>
      </c>
      <c r="V409" t="s">
        <v>48</v>
      </c>
      <c r="W409" t="s">
        <v>44</v>
      </c>
      <c r="X409">
        <v>30</v>
      </c>
      <c r="Y409">
        <v>60</v>
      </c>
      <c r="Z409">
        <v>4</v>
      </c>
      <c r="AA409">
        <v>1000</v>
      </c>
      <c r="AB409" t="s">
        <v>49</v>
      </c>
      <c r="AC409" t="s">
        <v>52</v>
      </c>
      <c r="AD409">
        <v>1</v>
      </c>
      <c r="AE409">
        <v>0.10199999999999999</v>
      </c>
      <c r="AF409">
        <v>0.35799999999999998</v>
      </c>
      <c r="AG409">
        <v>-365</v>
      </c>
      <c r="AH409">
        <v>-1</v>
      </c>
      <c r="AI409">
        <v>0.18099999999999999</v>
      </c>
      <c r="AJ409">
        <v>0.33200000000000002</v>
      </c>
      <c r="AK409">
        <v>-340</v>
      </c>
      <c r="AL409">
        <v>30</v>
      </c>
      <c r="AM409" t="s">
        <v>44</v>
      </c>
      <c r="AN409">
        <v>10.6</v>
      </c>
      <c r="AO409" t="s">
        <v>88</v>
      </c>
      <c r="AP409">
        <v>1</v>
      </c>
      <c r="AQ409">
        <v>33</v>
      </c>
    </row>
    <row r="410" spans="1:43" x14ac:dyDescent="0.2">
      <c r="A410" t="s">
        <v>89</v>
      </c>
      <c r="B410" t="s">
        <v>90</v>
      </c>
      <c r="C410">
        <v>136.15</v>
      </c>
      <c r="D410" t="s">
        <v>44</v>
      </c>
      <c r="G410" t="s">
        <v>44</v>
      </c>
      <c r="H410">
        <v>0.5</v>
      </c>
      <c r="I410" t="s">
        <v>45</v>
      </c>
      <c r="J410" t="s">
        <v>46</v>
      </c>
      <c r="K410">
        <v>265.5</v>
      </c>
      <c r="L410">
        <v>0.45600000000000002</v>
      </c>
      <c r="M410" t="s">
        <v>47</v>
      </c>
      <c r="N410" t="s">
        <v>44</v>
      </c>
      <c r="O410" t="s">
        <v>44</v>
      </c>
      <c r="P410" t="s">
        <v>91</v>
      </c>
      <c r="Q410" t="s">
        <v>44</v>
      </c>
      <c r="R410">
        <v>0.95599999999999996</v>
      </c>
      <c r="S410" s="5">
        <f t="shared" si="6"/>
        <v>2.14</v>
      </c>
      <c r="T410">
        <v>12</v>
      </c>
      <c r="U410" t="s">
        <v>44</v>
      </c>
      <c r="V410" t="s">
        <v>48</v>
      </c>
      <c r="W410" t="s">
        <v>44</v>
      </c>
      <c r="X410">
        <v>40</v>
      </c>
      <c r="Y410">
        <v>60</v>
      </c>
      <c r="Z410">
        <v>5</v>
      </c>
      <c r="AA410">
        <v>1000</v>
      </c>
      <c r="AB410" t="s">
        <v>49</v>
      </c>
      <c r="AC410" t="s">
        <v>50</v>
      </c>
      <c r="AD410">
        <v>1</v>
      </c>
      <c r="AE410">
        <v>0.10199999999999999</v>
      </c>
      <c r="AF410">
        <v>0.35799999999999998</v>
      </c>
      <c r="AG410">
        <v>-365</v>
      </c>
      <c r="AH410">
        <v>-2</v>
      </c>
      <c r="AI410">
        <v>0.23</v>
      </c>
      <c r="AJ410">
        <v>0.379</v>
      </c>
      <c r="AK410">
        <v>-1080</v>
      </c>
      <c r="AL410">
        <v>1200</v>
      </c>
      <c r="AM410" t="s">
        <v>44</v>
      </c>
      <c r="AN410">
        <v>10.7</v>
      </c>
      <c r="AO410" t="s">
        <v>92</v>
      </c>
      <c r="AP410">
        <v>1</v>
      </c>
      <c r="AQ410">
        <v>32</v>
      </c>
    </row>
    <row r="411" spans="1:43" x14ac:dyDescent="0.2">
      <c r="A411" t="s">
        <v>42</v>
      </c>
      <c r="B411" t="s">
        <v>43</v>
      </c>
      <c r="C411">
        <v>86.14</v>
      </c>
      <c r="D411" t="s">
        <v>44</v>
      </c>
      <c r="G411" t="s">
        <v>44</v>
      </c>
      <c r="H411">
        <v>0.3</v>
      </c>
      <c r="I411" t="s">
        <v>45</v>
      </c>
      <c r="J411" t="s">
        <v>46</v>
      </c>
      <c r="K411">
        <v>265.5</v>
      </c>
      <c r="L411">
        <v>0.3</v>
      </c>
      <c r="M411" t="s">
        <v>47</v>
      </c>
      <c r="N411" t="s">
        <v>44</v>
      </c>
      <c r="O411" t="s">
        <v>44</v>
      </c>
      <c r="P411" t="s">
        <v>44</v>
      </c>
      <c r="Q411" t="s">
        <v>44</v>
      </c>
      <c r="R411">
        <v>0.6</v>
      </c>
      <c r="S411" s="5">
        <f t="shared" si="6"/>
        <v>3.08</v>
      </c>
      <c r="T411" t="s">
        <v>44</v>
      </c>
      <c r="U411" t="s">
        <v>44</v>
      </c>
      <c r="V411" t="s">
        <v>48</v>
      </c>
      <c r="W411" t="s">
        <v>44</v>
      </c>
      <c r="X411">
        <v>30</v>
      </c>
      <c r="Y411">
        <v>60</v>
      </c>
      <c r="Z411">
        <v>6</v>
      </c>
      <c r="AA411">
        <v>1000</v>
      </c>
      <c r="AB411" t="s">
        <v>49</v>
      </c>
      <c r="AC411" t="s">
        <v>50</v>
      </c>
      <c r="AD411">
        <v>1</v>
      </c>
      <c r="AE411">
        <v>0.10199999999999999</v>
      </c>
      <c r="AF411">
        <v>0.35799999999999998</v>
      </c>
      <c r="AG411">
        <v>-365</v>
      </c>
      <c r="AH411">
        <v>-2</v>
      </c>
      <c r="AI411">
        <v>0.23</v>
      </c>
      <c r="AJ411">
        <v>0.379</v>
      </c>
      <c r="AK411">
        <v>-1080</v>
      </c>
      <c r="AL411">
        <v>120</v>
      </c>
      <c r="AM411" t="s">
        <v>44</v>
      </c>
      <c r="AN411">
        <v>10.8</v>
      </c>
      <c r="AO411" t="s">
        <v>66</v>
      </c>
      <c r="AP411">
        <v>1</v>
      </c>
      <c r="AQ411">
        <v>31</v>
      </c>
    </row>
    <row r="412" spans="1:43" x14ac:dyDescent="0.2">
      <c r="A412" t="s">
        <v>63</v>
      </c>
      <c r="B412" t="s">
        <v>64</v>
      </c>
      <c r="C412">
        <v>228.29</v>
      </c>
      <c r="D412" t="s">
        <v>44</v>
      </c>
      <c r="G412" t="s">
        <v>44</v>
      </c>
      <c r="H412">
        <v>1</v>
      </c>
      <c r="I412" t="s">
        <v>45</v>
      </c>
      <c r="J412" t="s">
        <v>46</v>
      </c>
      <c r="K412">
        <v>265.5</v>
      </c>
      <c r="L412">
        <v>0.15</v>
      </c>
      <c r="M412" t="s">
        <v>47</v>
      </c>
      <c r="N412" t="s">
        <v>44</v>
      </c>
      <c r="O412" t="s">
        <v>44</v>
      </c>
      <c r="P412" t="s">
        <v>44</v>
      </c>
      <c r="Q412" t="s">
        <v>44</v>
      </c>
      <c r="R412">
        <v>1.1499999999999999</v>
      </c>
      <c r="S412" s="5">
        <f t="shared" si="6"/>
        <v>7.75</v>
      </c>
      <c r="T412" t="s">
        <v>44</v>
      </c>
      <c r="U412" t="s">
        <v>44</v>
      </c>
      <c r="V412" t="s">
        <v>48</v>
      </c>
      <c r="W412" t="s">
        <v>44</v>
      </c>
      <c r="X412" t="s">
        <v>44</v>
      </c>
      <c r="Y412" t="s">
        <v>44</v>
      </c>
      <c r="Z412">
        <v>4.4800000000000004</v>
      </c>
      <c r="AA412">
        <v>0.58660000000000001</v>
      </c>
      <c r="AB412" t="s">
        <v>49</v>
      </c>
      <c r="AC412" t="s">
        <v>52</v>
      </c>
      <c r="AD412">
        <v>1</v>
      </c>
      <c r="AE412">
        <v>0.10199999999999999</v>
      </c>
      <c r="AF412">
        <v>0.35799999999999998</v>
      </c>
      <c r="AG412">
        <v>-365</v>
      </c>
      <c r="AH412">
        <v>-1</v>
      </c>
      <c r="AI412">
        <v>0.18099999999999999</v>
      </c>
      <c r="AJ412">
        <v>0.33200000000000002</v>
      </c>
      <c r="AK412">
        <v>-340</v>
      </c>
      <c r="AL412">
        <v>30</v>
      </c>
      <c r="AM412" t="s">
        <v>44</v>
      </c>
      <c r="AN412">
        <v>11</v>
      </c>
      <c r="AO412" t="s">
        <v>65</v>
      </c>
      <c r="AP412">
        <v>1</v>
      </c>
      <c r="AQ412">
        <v>29</v>
      </c>
    </row>
    <row r="413" spans="1:43" x14ac:dyDescent="0.2">
      <c r="A413" t="s">
        <v>59</v>
      </c>
      <c r="B413" t="s">
        <v>60</v>
      </c>
      <c r="C413">
        <v>43.1</v>
      </c>
      <c r="D413" t="s">
        <v>42</v>
      </c>
      <c r="E413" t="s">
        <v>43</v>
      </c>
      <c r="F413">
        <v>86.14</v>
      </c>
      <c r="G413">
        <v>67</v>
      </c>
      <c r="H413">
        <v>3</v>
      </c>
      <c r="I413" t="s">
        <v>45</v>
      </c>
      <c r="J413" t="s">
        <v>46</v>
      </c>
      <c r="K413">
        <v>265.5</v>
      </c>
      <c r="L413">
        <v>0.6</v>
      </c>
      <c r="M413" t="s">
        <v>47</v>
      </c>
      <c r="N413" t="s">
        <v>44</v>
      </c>
      <c r="O413" t="s">
        <v>44</v>
      </c>
      <c r="P413" t="s">
        <v>44</v>
      </c>
      <c r="Q413" t="s">
        <v>44</v>
      </c>
      <c r="R413">
        <v>3.6</v>
      </c>
      <c r="S413" s="5">
        <f t="shared" si="6"/>
        <v>30.57</v>
      </c>
      <c r="T413">
        <v>9.5</v>
      </c>
      <c r="U413" t="s">
        <v>44</v>
      </c>
      <c r="V413" t="s">
        <v>48</v>
      </c>
      <c r="W413" t="s">
        <v>44</v>
      </c>
      <c r="X413">
        <v>20</v>
      </c>
      <c r="Y413">
        <v>75</v>
      </c>
      <c r="Z413">
        <v>8</v>
      </c>
      <c r="AA413">
        <v>500</v>
      </c>
      <c r="AB413" t="s">
        <v>49</v>
      </c>
      <c r="AC413" t="s">
        <v>52</v>
      </c>
      <c r="AD413">
        <v>1</v>
      </c>
      <c r="AE413">
        <v>0.10199999999999999</v>
      </c>
      <c r="AF413">
        <v>0.35799999999999998</v>
      </c>
      <c r="AG413">
        <v>-365</v>
      </c>
      <c r="AH413">
        <v>-1</v>
      </c>
      <c r="AI413">
        <v>0.18099999999999999</v>
      </c>
      <c r="AJ413">
        <v>0.33200000000000002</v>
      </c>
      <c r="AK413">
        <v>-340</v>
      </c>
      <c r="AL413">
        <v>1800</v>
      </c>
      <c r="AM413" t="s">
        <v>44</v>
      </c>
      <c r="AN413">
        <v>11</v>
      </c>
      <c r="AO413" t="s">
        <v>143</v>
      </c>
      <c r="AP413">
        <v>1</v>
      </c>
      <c r="AQ413">
        <v>281</v>
      </c>
    </row>
    <row r="414" spans="1:43" x14ac:dyDescent="0.2">
      <c r="A414" t="s">
        <v>42</v>
      </c>
      <c r="B414" t="s">
        <v>43</v>
      </c>
      <c r="C414">
        <v>86.14</v>
      </c>
      <c r="D414" t="s">
        <v>44</v>
      </c>
      <c r="G414" t="s">
        <v>44</v>
      </c>
      <c r="H414">
        <v>0.25</v>
      </c>
      <c r="I414" t="s">
        <v>45</v>
      </c>
      <c r="J414" t="s">
        <v>46</v>
      </c>
      <c r="K414">
        <v>265.5</v>
      </c>
      <c r="L414">
        <v>0.30399999999999999</v>
      </c>
      <c r="M414" t="s">
        <v>47</v>
      </c>
      <c r="N414" t="s">
        <v>61</v>
      </c>
      <c r="O414">
        <v>1.5</v>
      </c>
      <c r="P414" t="s">
        <v>44</v>
      </c>
      <c r="Q414" t="s">
        <v>44</v>
      </c>
      <c r="R414">
        <v>0.55400000000000005</v>
      </c>
      <c r="S414" s="5">
        <f t="shared" si="6"/>
        <v>2.5299999999999998</v>
      </c>
      <c r="T414" t="s">
        <v>44</v>
      </c>
      <c r="U414" t="s">
        <v>44</v>
      </c>
      <c r="V414" t="s">
        <v>48</v>
      </c>
      <c r="W414" t="s">
        <v>44</v>
      </c>
      <c r="X414">
        <v>30</v>
      </c>
      <c r="Y414">
        <v>60</v>
      </c>
      <c r="Z414">
        <v>4</v>
      </c>
      <c r="AA414">
        <v>1000</v>
      </c>
      <c r="AB414" t="s">
        <v>49</v>
      </c>
      <c r="AC414" t="s">
        <v>52</v>
      </c>
      <c r="AD414">
        <v>1</v>
      </c>
      <c r="AE414">
        <v>0.10199999999999999</v>
      </c>
      <c r="AF414">
        <v>0.35799999999999998</v>
      </c>
      <c r="AG414">
        <v>-365</v>
      </c>
      <c r="AH414">
        <v>-1</v>
      </c>
      <c r="AI414">
        <v>0.18099999999999999</v>
      </c>
      <c r="AJ414">
        <v>0.33200000000000002</v>
      </c>
      <c r="AK414">
        <v>-340</v>
      </c>
      <c r="AL414">
        <v>30</v>
      </c>
      <c r="AM414" t="s">
        <v>44</v>
      </c>
      <c r="AN414">
        <v>11.2</v>
      </c>
      <c r="AO414" t="s">
        <v>88</v>
      </c>
      <c r="AP414">
        <v>1</v>
      </c>
      <c r="AQ414">
        <v>27</v>
      </c>
    </row>
    <row r="415" spans="1:43" x14ac:dyDescent="0.2">
      <c r="A415" t="s">
        <v>42</v>
      </c>
      <c r="B415" t="s">
        <v>43</v>
      </c>
      <c r="C415">
        <v>86.14</v>
      </c>
      <c r="D415" t="s">
        <v>44</v>
      </c>
      <c r="G415" t="s">
        <v>44</v>
      </c>
      <c r="H415">
        <v>1</v>
      </c>
      <c r="I415" t="s">
        <v>45</v>
      </c>
      <c r="J415" t="s">
        <v>46</v>
      </c>
      <c r="K415">
        <v>265.5</v>
      </c>
      <c r="L415">
        <v>0.22800000000000001</v>
      </c>
      <c r="M415" t="s">
        <v>47</v>
      </c>
      <c r="N415" t="s">
        <v>81</v>
      </c>
      <c r="O415">
        <v>1</v>
      </c>
      <c r="P415" t="s">
        <v>44</v>
      </c>
      <c r="Q415" t="s">
        <v>44</v>
      </c>
      <c r="R415">
        <v>1.228</v>
      </c>
      <c r="S415" s="5">
        <f t="shared" si="6"/>
        <v>13.52</v>
      </c>
      <c r="T415" t="s">
        <v>44</v>
      </c>
      <c r="U415" t="s">
        <v>44</v>
      </c>
      <c r="V415" t="s">
        <v>48</v>
      </c>
      <c r="W415" t="s">
        <v>44</v>
      </c>
      <c r="X415">
        <v>5</v>
      </c>
      <c r="Y415">
        <v>80</v>
      </c>
      <c r="Z415">
        <v>6</v>
      </c>
      <c r="AA415">
        <v>2000</v>
      </c>
      <c r="AB415" t="s">
        <v>49</v>
      </c>
      <c r="AC415" t="s">
        <v>50</v>
      </c>
      <c r="AD415">
        <v>1</v>
      </c>
      <c r="AE415">
        <v>0.10199999999999999</v>
      </c>
      <c r="AF415">
        <v>0.35799999999999998</v>
      </c>
      <c r="AG415">
        <v>-365</v>
      </c>
      <c r="AH415">
        <v>-2</v>
      </c>
      <c r="AI415">
        <v>0.23</v>
      </c>
      <c r="AJ415">
        <v>0.379</v>
      </c>
      <c r="AK415">
        <v>-1080</v>
      </c>
      <c r="AL415">
        <v>15</v>
      </c>
      <c r="AM415" t="s">
        <v>44</v>
      </c>
      <c r="AN415">
        <v>11.3</v>
      </c>
      <c r="AO415" t="s">
        <v>82</v>
      </c>
      <c r="AP415">
        <v>1</v>
      </c>
      <c r="AQ415">
        <v>24</v>
      </c>
    </row>
    <row r="416" spans="1:43" x14ac:dyDescent="0.2">
      <c r="A416" t="s">
        <v>42</v>
      </c>
      <c r="B416" t="s">
        <v>43</v>
      </c>
      <c r="C416">
        <v>86.14</v>
      </c>
      <c r="D416" t="s">
        <v>44</v>
      </c>
      <c r="G416" t="s">
        <v>44</v>
      </c>
      <c r="H416">
        <v>0.5</v>
      </c>
      <c r="I416" t="s">
        <v>45</v>
      </c>
      <c r="J416" t="s">
        <v>46</v>
      </c>
      <c r="K416">
        <v>265.5</v>
      </c>
      <c r="L416">
        <v>0.1</v>
      </c>
      <c r="M416" t="s">
        <v>84</v>
      </c>
      <c r="N416" t="s">
        <v>61</v>
      </c>
      <c r="O416">
        <v>0.05</v>
      </c>
      <c r="P416" t="s">
        <v>85</v>
      </c>
      <c r="Q416">
        <v>0.1</v>
      </c>
      <c r="R416">
        <v>0.6</v>
      </c>
      <c r="S416" s="5">
        <f t="shared" si="6"/>
        <v>15.41</v>
      </c>
      <c r="T416">
        <v>10</v>
      </c>
      <c r="U416" t="s">
        <v>44</v>
      </c>
      <c r="V416" t="s">
        <v>48</v>
      </c>
      <c r="W416" t="s">
        <v>44</v>
      </c>
      <c r="X416" t="s">
        <v>44</v>
      </c>
      <c r="Y416">
        <v>80</v>
      </c>
      <c r="Z416">
        <v>4</v>
      </c>
      <c r="AA416">
        <v>500</v>
      </c>
      <c r="AB416" t="s">
        <v>86</v>
      </c>
      <c r="AC416" t="s">
        <v>52</v>
      </c>
      <c r="AD416">
        <v>2</v>
      </c>
      <c r="AE416">
        <v>0.1</v>
      </c>
      <c r="AF416">
        <v>0.41199999999999998</v>
      </c>
      <c r="AG416">
        <v>-1505</v>
      </c>
      <c r="AH416">
        <v>-1</v>
      </c>
      <c r="AI416">
        <v>0.18099999999999999</v>
      </c>
      <c r="AJ416">
        <v>0.33200000000000002</v>
      </c>
      <c r="AK416">
        <v>-340</v>
      </c>
      <c r="AL416">
        <v>10</v>
      </c>
      <c r="AM416" t="s">
        <v>44</v>
      </c>
      <c r="AN416">
        <v>11.3</v>
      </c>
      <c r="AO416" t="s">
        <v>87</v>
      </c>
      <c r="AP416">
        <v>1</v>
      </c>
      <c r="AQ416">
        <v>25</v>
      </c>
    </row>
    <row r="417" spans="1:43" x14ac:dyDescent="0.2">
      <c r="A417" t="s">
        <v>42</v>
      </c>
      <c r="B417" t="s">
        <v>43</v>
      </c>
      <c r="C417">
        <v>86.14</v>
      </c>
      <c r="D417" t="s">
        <v>44</v>
      </c>
      <c r="G417" t="s">
        <v>44</v>
      </c>
      <c r="H417">
        <v>0.25</v>
      </c>
      <c r="I417" t="s">
        <v>45</v>
      </c>
      <c r="J417" t="s">
        <v>46</v>
      </c>
      <c r="K417">
        <v>265.5</v>
      </c>
      <c r="L417">
        <v>0.30399999999999999</v>
      </c>
      <c r="M417" t="s">
        <v>47</v>
      </c>
      <c r="N417" t="s">
        <v>61</v>
      </c>
      <c r="O417">
        <v>0.25</v>
      </c>
      <c r="P417" t="s">
        <v>44</v>
      </c>
      <c r="Q417" t="s">
        <v>44</v>
      </c>
      <c r="R417">
        <v>0.55400000000000005</v>
      </c>
      <c r="S417" s="5">
        <f t="shared" si="6"/>
        <v>2.5299999999999998</v>
      </c>
      <c r="T417" t="s">
        <v>44</v>
      </c>
      <c r="U417" t="s">
        <v>44</v>
      </c>
      <c r="V417" t="s">
        <v>48</v>
      </c>
      <c r="W417" t="s">
        <v>44</v>
      </c>
      <c r="X417">
        <v>30</v>
      </c>
      <c r="Y417">
        <v>60</v>
      </c>
      <c r="Z417">
        <v>4</v>
      </c>
      <c r="AA417">
        <v>1000</v>
      </c>
      <c r="AB417" t="s">
        <v>49</v>
      </c>
      <c r="AC417" t="s">
        <v>52</v>
      </c>
      <c r="AD417">
        <v>1</v>
      </c>
      <c r="AE417">
        <v>0.10199999999999999</v>
      </c>
      <c r="AF417">
        <v>0.35799999999999998</v>
      </c>
      <c r="AG417">
        <v>-365</v>
      </c>
      <c r="AH417">
        <v>-1</v>
      </c>
      <c r="AI417">
        <v>0.18099999999999999</v>
      </c>
      <c r="AJ417">
        <v>0.33200000000000002</v>
      </c>
      <c r="AK417">
        <v>-340</v>
      </c>
      <c r="AL417">
        <v>30</v>
      </c>
      <c r="AM417" t="s">
        <v>44</v>
      </c>
      <c r="AN417">
        <v>11.3</v>
      </c>
      <c r="AO417" t="s">
        <v>88</v>
      </c>
      <c r="AP417">
        <v>1</v>
      </c>
      <c r="AQ417">
        <v>26</v>
      </c>
    </row>
    <row r="418" spans="1:43" x14ac:dyDescent="0.2">
      <c r="A418" t="s">
        <v>42</v>
      </c>
      <c r="B418" t="s">
        <v>43</v>
      </c>
      <c r="C418">
        <v>86.14</v>
      </c>
      <c r="D418" t="s">
        <v>44</v>
      </c>
      <c r="G418" t="s">
        <v>44</v>
      </c>
      <c r="H418">
        <v>0.76100000000000001</v>
      </c>
      <c r="I418" t="s">
        <v>45</v>
      </c>
      <c r="J418" t="s">
        <v>46</v>
      </c>
      <c r="K418">
        <v>265.5</v>
      </c>
      <c r="L418">
        <v>0.25</v>
      </c>
      <c r="M418" t="s">
        <v>47</v>
      </c>
      <c r="N418" t="s">
        <v>44</v>
      </c>
      <c r="O418" t="s">
        <v>44</v>
      </c>
      <c r="P418" t="s">
        <v>44</v>
      </c>
      <c r="Q418" t="s">
        <v>44</v>
      </c>
      <c r="R418">
        <v>1.0109999999999999</v>
      </c>
      <c r="S418" s="5">
        <f t="shared" si="6"/>
        <v>9.3800000000000008</v>
      </c>
      <c r="T418" t="s">
        <v>44</v>
      </c>
      <c r="U418" t="s">
        <v>152</v>
      </c>
      <c r="V418" t="s">
        <v>153</v>
      </c>
      <c r="W418">
        <v>1E-3</v>
      </c>
      <c r="X418">
        <v>30</v>
      </c>
      <c r="Y418">
        <v>60</v>
      </c>
      <c r="Z418">
        <v>4</v>
      </c>
      <c r="AA418">
        <v>1000</v>
      </c>
      <c r="AB418" t="s">
        <v>150</v>
      </c>
      <c r="AC418" t="s">
        <v>52</v>
      </c>
      <c r="AD418">
        <v>1</v>
      </c>
      <c r="AE418">
        <v>6.9000000000000006E-2</v>
      </c>
      <c r="AF418">
        <v>0.38200000000000001</v>
      </c>
      <c r="AG418">
        <v>-475</v>
      </c>
      <c r="AH418">
        <v>-1</v>
      </c>
      <c r="AI418">
        <v>0.18099999999999999</v>
      </c>
      <c r="AJ418">
        <v>0.33200000000000002</v>
      </c>
      <c r="AK418">
        <v>-340</v>
      </c>
      <c r="AL418">
        <v>30</v>
      </c>
      <c r="AM418" t="s">
        <v>44</v>
      </c>
      <c r="AN418">
        <v>11.3</v>
      </c>
      <c r="AO418" t="s">
        <v>151</v>
      </c>
      <c r="AP418">
        <v>1</v>
      </c>
      <c r="AQ418">
        <v>395</v>
      </c>
    </row>
    <row r="419" spans="1:43" x14ac:dyDescent="0.2">
      <c r="A419" t="s">
        <v>42</v>
      </c>
      <c r="B419" t="s">
        <v>43</v>
      </c>
      <c r="C419">
        <v>86.14</v>
      </c>
      <c r="D419" t="s">
        <v>71</v>
      </c>
      <c r="E419" t="s">
        <v>72</v>
      </c>
      <c r="F419">
        <v>101.19</v>
      </c>
      <c r="G419">
        <v>4</v>
      </c>
      <c r="H419">
        <v>2</v>
      </c>
      <c r="I419" t="s">
        <v>45</v>
      </c>
      <c r="J419" t="s">
        <v>46</v>
      </c>
      <c r="K419">
        <v>265.5</v>
      </c>
      <c r="L419">
        <v>0.5</v>
      </c>
      <c r="M419" t="s">
        <v>47</v>
      </c>
      <c r="N419" t="s">
        <v>44</v>
      </c>
      <c r="O419" t="s">
        <v>44</v>
      </c>
      <c r="P419" t="s">
        <v>44</v>
      </c>
      <c r="Q419" t="s">
        <v>44</v>
      </c>
      <c r="R419">
        <v>2.5</v>
      </c>
      <c r="S419" s="5">
        <f t="shared" si="6"/>
        <v>11.96</v>
      </c>
      <c r="T419" t="s">
        <v>44</v>
      </c>
      <c r="U419" t="s">
        <v>44</v>
      </c>
      <c r="V419" t="s">
        <v>48</v>
      </c>
      <c r="W419" t="s">
        <v>44</v>
      </c>
      <c r="X419" t="s">
        <v>44</v>
      </c>
      <c r="Y419" t="s">
        <v>44</v>
      </c>
      <c r="Z419">
        <v>5</v>
      </c>
      <c r="AA419">
        <v>2000</v>
      </c>
      <c r="AB419" t="s">
        <v>150</v>
      </c>
      <c r="AC419" t="s">
        <v>52</v>
      </c>
      <c r="AD419">
        <v>1</v>
      </c>
      <c r="AE419">
        <v>6.9000000000000006E-2</v>
      </c>
      <c r="AF419">
        <v>0.38200000000000001</v>
      </c>
      <c r="AG419">
        <v>-475</v>
      </c>
      <c r="AH419">
        <v>-1</v>
      </c>
      <c r="AI419">
        <v>0.18099999999999999</v>
      </c>
      <c r="AJ419">
        <v>0.33200000000000002</v>
      </c>
      <c r="AK419">
        <v>-340</v>
      </c>
      <c r="AL419">
        <v>30</v>
      </c>
      <c r="AM419" t="s">
        <v>44</v>
      </c>
      <c r="AN419">
        <v>11.3</v>
      </c>
      <c r="AO419" t="s">
        <v>163</v>
      </c>
      <c r="AP419">
        <v>1</v>
      </c>
      <c r="AQ419">
        <v>432</v>
      </c>
    </row>
    <row r="420" spans="1:43" x14ac:dyDescent="0.2">
      <c r="A420" t="s">
        <v>42</v>
      </c>
      <c r="B420" t="s">
        <v>43</v>
      </c>
      <c r="C420">
        <v>86.14</v>
      </c>
      <c r="D420" t="s">
        <v>71</v>
      </c>
      <c r="E420" t="s">
        <v>72</v>
      </c>
      <c r="F420">
        <v>101.19</v>
      </c>
      <c r="G420">
        <v>1</v>
      </c>
      <c r="H420">
        <v>1.5269999999999999</v>
      </c>
      <c r="I420" t="s">
        <v>45</v>
      </c>
      <c r="J420" t="s">
        <v>46</v>
      </c>
      <c r="K420">
        <v>265.5</v>
      </c>
      <c r="L420">
        <v>0.1</v>
      </c>
      <c r="M420" t="s">
        <v>47</v>
      </c>
      <c r="N420" t="s">
        <v>83</v>
      </c>
      <c r="O420">
        <v>0.25</v>
      </c>
      <c r="P420" t="s">
        <v>44</v>
      </c>
      <c r="Q420" t="s">
        <v>44</v>
      </c>
      <c r="R420">
        <v>1.627</v>
      </c>
      <c r="S420" s="5">
        <f t="shared" si="6"/>
        <v>43.57</v>
      </c>
      <c r="T420" t="s">
        <v>44</v>
      </c>
      <c r="U420" t="s">
        <v>44</v>
      </c>
      <c r="V420" t="s">
        <v>48</v>
      </c>
      <c r="W420" t="s">
        <v>44</v>
      </c>
      <c r="X420">
        <v>10</v>
      </c>
      <c r="Y420" t="s">
        <v>44</v>
      </c>
      <c r="Z420">
        <v>4.8</v>
      </c>
      <c r="AA420">
        <v>2000</v>
      </c>
      <c r="AB420" t="s">
        <v>69</v>
      </c>
      <c r="AC420" t="s">
        <v>50</v>
      </c>
      <c r="AD420">
        <v>2</v>
      </c>
      <c r="AE420">
        <v>7.1999999999999995E-2</v>
      </c>
      <c r="AF420">
        <v>0.42799999999999999</v>
      </c>
      <c r="AG420">
        <v>-1830</v>
      </c>
      <c r="AH420">
        <v>-2</v>
      </c>
      <c r="AI420">
        <v>0.23</v>
      </c>
      <c r="AJ420">
        <v>0.379</v>
      </c>
      <c r="AK420">
        <v>-1080</v>
      </c>
      <c r="AL420">
        <v>60</v>
      </c>
      <c r="AM420" t="s">
        <v>44</v>
      </c>
      <c r="AN420">
        <v>11.5</v>
      </c>
      <c r="AO420" t="s">
        <v>73</v>
      </c>
      <c r="AP420">
        <v>1</v>
      </c>
      <c r="AQ420">
        <v>23</v>
      </c>
    </row>
    <row r="421" spans="1:43" x14ac:dyDescent="0.2">
      <c r="A421" t="s">
        <v>67</v>
      </c>
      <c r="B421" t="s">
        <v>68</v>
      </c>
      <c r="C421">
        <v>210.27</v>
      </c>
      <c r="D421" t="s">
        <v>44</v>
      </c>
      <c r="G421" t="s">
        <v>44</v>
      </c>
      <c r="H421">
        <v>2</v>
      </c>
      <c r="I421" t="s">
        <v>45</v>
      </c>
      <c r="J421" t="s">
        <v>46</v>
      </c>
      <c r="K421">
        <v>265.5</v>
      </c>
      <c r="L421">
        <v>0.2</v>
      </c>
      <c r="M421" t="s">
        <v>47</v>
      </c>
      <c r="N421" t="s">
        <v>61</v>
      </c>
      <c r="O421">
        <v>0.1</v>
      </c>
      <c r="P421" t="s">
        <v>44</v>
      </c>
      <c r="Q421" t="s">
        <v>44</v>
      </c>
      <c r="R421">
        <v>2.2000000000000002</v>
      </c>
      <c r="S421" s="5">
        <f t="shared" si="6"/>
        <v>12.63</v>
      </c>
      <c r="T421" t="s">
        <v>44</v>
      </c>
      <c r="U421" t="s">
        <v>44</v>
      </c>
      <c r="V421" t="s">
        <v>48</v>
      </c>
      <c r="W421" t="s">
        <v>44</v>
      </c>
      <c r="X421">
        <v>15</v>
      </c>
      <c r="Y421">
        <v>80</v>
      </c>
      <c r="Z421">
        <v>4</v>
      </c>
      <c r="AA421">
        <v>2000</v>
      </c>
      <c r="AB421" t="s">
        <v>69</v>
      </c>
      <c r="AC421" t="s">
        <v>50</v>
      </c>
      <c r="AD421">
        <v>2</v>
      </c>
      <c r="AE421">
        <v>7.1999999999999995E-2</v>
      </c>
      <c r="AF421">
        <v>0.42799999999999999</v>
      </c>
      <c r="AG421">
        <v>-1830</v>
      </c>
      <c r="AH421">
        <v>-2</v>
      </c>
      <c r="AI421">
        <v>0.23</v>
      </c>
      <c r="AJ421">
        <v>0.379</v>
      </c>
      <c r="AK421">
        <v>-1080</v>
      </c>
      <c r="AL421">
        <v>180</v>
      </c>
      <c r="AM421" t="s">
        <v>44</v>
      </c>
      <c r="AN421">
        <v>11.6</v>
      </c>
      <c r="AO421" t="s">
        <v>70</v>
      </c>
      <c r="AP421">
        <v>1</v>
      </c>
      <c r="AQ421">
        <v>22</v>
      </c>
    </row>
    <row r="422" spans="1:43" x14ac:dyDescent="0.2">
      <c r="A422" t="s">
        <v>54</v>
      </c>
      <c r="B422" t="s">
        <v>55</v>
      </c>
      <c r="C422">
        <v>108.14</v>
      </c>
      <c r="D422" t="s">
        <v>44</v>
      </c>
      <c r="G422" t="s">
        <v>44</v>
      </c>
      <c r="H422">
        <v>0.5</v>
      </c>
      <c r="I422" t="s">
        <v>56</v>
      </c>
      <c r="J422" t="s">
        <v>57</v>
      </c>
      <c r="K422">
        <v>203.02</v>
      </c>
      <c r="L422">
        <v>0.1</v>
      </c>
      <c r="M422" t="s">
        <v>47</v>
      </c>
      <c r="N422" t="s">
        <v>44</v>
      </c>
      <c r="O422" t="s">
        <v>44</v>
      </c>
      <c r="P422" t="s">
        <v>44</v>
      </c>
      <c r="Q422" t="s">
        <v>44</v>
      </c>
      <c r="R422">
        <v>0.6</v>
      </c>
      <c r="S422" s="5">
        <f t="shared" si="6"/>
        <v>9.39</v>
      </c>
      <c r="T422" t="s">
        <v>44</v>
      </c>
      <c r="U422" t="s">
        <v>44</v>
      </c>
      <c r="V422" t="s">
        <v>48</v>
      </c>
      <c r="W422" t="s">
        <v>44</v>
      </c>
      <c r="X422">
        <v>5</v>
      </c>
      <c r="Y422">
        <v>80</v>
      </c>
      <c r="Z422">
        <v>10.3</v>
      </c>
      <c r="AA422">
        <v>1000</v>
      </c>
      <c r="AB422" t="s">
        <v>49</v>
      </c>
      <c r="AC422" t="s">
        <v>50</v>
      </c>
      <c r="AD422">
        <v>1</v>
      </c>
      <c r="AE422">
        <v>0.10199999999999999</v>
      </c>
      <c r="AF422">
        <v>0.35799999999999998</v>
      </c>
      <c r="AG422">
        <v>-365</v>
      </c>
      <c r="AH422">
        <v>-2</v>
      </c>
      <c r="AI422">
        <v>0.23</v>
      </c>
      <c r="AJ422">
        <v>0.379</v>
      </c>
      <c r="AK422">
        <v>-1080</v>
      </c>
      <c r="AL422">
        <v>90</v>
      </c>
      <c r="AM422" t="s">
        <v>44</v>
      </c>
      <c r="AN422">
        <v>11.6</v>
      </c>
      <c r="AO422" t="s">
        <v>58</v>
      </c>
      <c r="AP422">
        <v>1</v>
      </c>
      <c r="AQ422">
        <v>28</v>
      </c>
    </row>
    <row r="423" spans="1:43" x14ac:dyDescent="0.2">
      <c r="A423" t="s">
        <v>63</v>
      </c>
      <c r="B423" t="s">
        <v>64</v>
      </c>
      <c r="C423">
        <v>228.29</v>
      </c>
      <c r="D423" t="s">
        <v>44</v>
      </c>
      <c r="G423" t="s">
        <v>44</v>
      </c>
      <c r="H423">
        <v>1</v>
      </c>
      <c r="I423" t="s">
        <v>45</v>
      </c>
      <c r="J423" t="s">
        <v>46</v>
      </c>
      <c r="K423">
        <v>265.5</v>
      </c>
      <c r="L423">
        <v>0.15</v>
      </c>
      <c r="M423" t="s">
        <v>47</v>
      </c>
      <c r="N423" t="s">
        <v>44</v>
      </c>
      <c r="O423" t="s">
        <v>44</v>
      </c>
      <c r="P423" t="s">
        <v>44</v>
      </c>
      <c r="Q423" t="s">
        <v>44</v>
      </c>
      <c r="R423">
        <v>1.1499999999999999</v>
      </c>
      <c r="S423" s="5">
        <f t="shared" si="6"/>
        <v>7.75</v>
      </c>
      <c r="T423" t="s">
        <v>44</v>
      </c>
      <c r="U423" t="s">
        <v>44</v>
      </c>
      <c r="V423" t="s">
        <v>48</v>
      </c>
      <c r="W423" t="s">
        <v>44</v>
      </c>
      <c r="X423" t="s">
        <v>44</v>
      </c>
      <c r="Y423" t="s">
        <v>44</v>
      </c>
      <c r="Z423">
        <v>3.1</v>
      </c>
      <c r="AA423">
        <v>0.58660000000000001</v>
      </c>
      <c r="AB423" t="s">
        <v>49</v>
      </c>
      <c r="AC423" t="s">
        <v>52</v>
      </c>
      <c r="AD423">
        <v>1</v>
      </c>
      <c r="AE423">
        <v>0.10199999999999999</v>
      </c>
      <c r="AF423">
        <v>0.35799999999999998</v>
      </c>
      <c r="AG423">
        <v>-365</v>
      </c>
      <c r="AH423">
        <v>-1</v>
      </c>
      <c r="AI423">
        <v>0.18099999999999999</v>
      </c>
      <c r="AJ423">
        <v>0.33200000000000002</v>
      </c>
      <c r="AK423">
        <v>-340</v>
      </c>
      <c r="AL423">
        <v>30</v>
      </c>
      <c r="AM423" t="s">
        <v>44</v>
      </c>
      <c r="AN423">
        <v>13</v>
      </c>
      <c r="AO423" t="s">
        <v>65</v>
      </c>
      <c r="AP423">
        <v>1</v>
      </c>
      <c r="AQ423">
        <v>20</v>
      </c>
    </row>
    <row r="424" spans="1:43" x14ac:dyDescent="0.2">
      <c r="A424" t="s">
        <v>42</v>
      </c>
      <c r="B424" t="s">
        <v>43</v>
      </c>
      <c r="C424">
        <v>86.14</v>
      </c>
      <c r="D424" t="s">
        <v>44</v>
      </c>
      <c r="G424" t="s">
        <v>44</v>
      </c>
      <c r="H424">
        <v>0.2</v>
      </c>
      <c r="I424" t="s">
        <v>45</v>
      </c>
      <c r="J424" t="s">
        <v>46</v>
      </c>
      <c r="K424">
        <v>265.5</v>
      </c>
      <c r="L424">
        <v>0.22800000000000001</v>
      </c>
      <c r="M424" t="s">
        <v>47</v>
      </c>
      <c r="N424" t="s">
        <v>81</v>
      </c>
      <c r="O424">
        <v>0.1</v>
      </c>
      <c r="P424" t="s">
        <v>44</v>
      </c>
      <c r="Q424" t="s">
        <v>44</v>
      </c>
      <c r="R424">
        <v>0.42799999999999999</v>
      </c>
      <c r="S424" s="5">
        <f t="shared" si="6"/>
        <v>2.7</v>
      </c>
      <c r="T424" t="s">
        <v>44</v>
      </c>
      <c r="U424" t="s">
        <v>44</v>
      </c>
      <c r="V424" t="s">
        <v>48</v>
      </c>
      <c r="W424" t="s">
        <v>44</v>
      </c>
      <c r="X424">
        <v>5</v>
      </c>
      <c r="Y424">
        <v>80</v>
      </c>
      <c r="Z424">
        <v>6</v>
      </c>
      <c r="AA424">
        <v>2000</v>
      </c>
      <c r="AB424" t="s">
        <v>49</v>
      </c>
      <c r="AC424" t="s">
        <v>50</v>
      </c>
      <c r="AD424">
        <v>1</v>
      </c>
      <c r="AE424">
        <v>0.10199999999999999</v>
      </c>
      <c r="AF424">
        <v>0.35799999999999998</v>
      </c>
      <c r="AG424">
        <v>-365</v>
      </c>
      <c r="AH424">
        <v>-2</v>
      </c>
      <c r="AI424">
        <v>0.23</v>
      </c>
      <c r="AJ424">
        <v>0.379</v>
      </c>
      <c r="AK424">
        <v>-1080</v>
      </c>
      <c r="AL424">
        <v>15</v>
      </c>
      <c r="AM424" t="s">
        <v>44</v>
      </c>
      <c r="AN424">
        <v>13</v>
      </c>
      <c r="AO424" t="s">
        <v>82</v>
      </c>
      <c r="AP424">
        <v>1</v>
      </c>
      <c r="AQ424">
        <v>21</v>
      </c>
    </row>
    <row r="425" spans="1:43" x14ac:dyDescent="0.2">
      <c r="A425" t="s">
        <v>42</v>
      </c>
      <c r="B425" t="s">
        <v>43</v>
      </c>
      <c r="C425">
        <v>86.14</v>
      </c>
      <c r="D425" t="s">
        <v>44</v>
      </c>
      <c r="G425" t="s">
        <v>44</v>
      </c>
      <c r="H425">
        <v>0.2</v>
      </c>
      <c r="I425" t="s">
        <v>45</v>
      </c>
      <c r="J425" t="s">
        <v>46</v>
      </c>
      <c r="K425">
        <v>265.5</v>
      </c>
      <c r="L425">
        <v>0.2</v>
      </c>
      <c r="M425" t="s">
        <v>47</v>
      </c>
      <c r="N425" t="s">
        <v>44</v>
      </c>
      <c r="O425" t="s">
        <v>44</v>
      </c>
      <c r="P425" t="s">
        <v>44</v>
      </c>
      <c r="Q425" t="s">
        <v>44</v>
      </c>
      <c r="R425">
        <v>0.4</v>
      </c>
      <c r="S425" s="5">
        <f t="shared" si="6"/>
        <v>3.08</v>
      </c>
      <c r="T425" t="s">
        <v>44</v>
      </c>
      <c r="U425" t="s">
        <v>44</v>
      </c>
      <c r="V425" t="s">
        <v>48</v>
      </c>
      <c r="W425" t="s">
        <v>44</v>
      </c>
      <c r="X425">
        <v>30</v>
      </c>
      <c r="Y425">
        <v>60</v>
      </c>
      <c r="Z425">
        <v>6</v>
      </c>
      <c r="AA425">
        <v>1000</v>
      </c>
      <c r="AB425" t="s">
        <v>49</v>
      </c>
      <c r="AC425" t="s">
        <v>50</v>
      </c>
      <c r="AD425">
        <v>1</v>
      </c>
      <c r="AE425">
        <v>0.10199999999999999</v>
      </c>
      <c r="AF425">
        <v>0.35799999999999998</v>
      </c>
      <c r="AG425">
        <v>-365</v>
      </c>
      <c r="AH425">
        <v>-2</v>
      </c>
      <c r="AI425">
        <v>0.23</v>
      </c>
      <c r="AJ425">
        <v>0.379</v>
      </c>
      <c r="AK425">
        <v>-1080</v>
      </c>
      <c r="AL425">
        <v>120</v>
      </c>
      <c r="AM425" t="s">
        <v>44</v>
      </c>
      <c r="AN425">
        <v>13.4</v>
      </c>
      <c r="AO425" t="s">
        <v>66</v>
      </c>
      <c r="AP425">
        <v>1</v>
      </c>
      <c r="AQ425">
        <v>18</v>
      </c>
    </row>
    <row r="426" spans="1:43" x14ac:dyDescent="0.2">
      <c r="A426" t="s">
        <v>42</v>
      </c>
      <c r="B426" t="s">
        <v>43</v>
      </c>
      <c r="C426">
        <v>86.14</v>
      </c>
      <c r="D426" t="s">
        <v>74</v>
      </c>
      <c r="E426" t="s">
        <v>75</v>
      </c>
      <c r="F426">
        <v>200.23</v>
      </c>
      <c r="G426">
        <v>0.43</v>
      </c>
      <c r="H426">
        <v>1</v>
      </c>
      <c r="I426" t="s">
        <v>45</v>
      </c>
      <c r="J426" t="s">
        <v>46</v>
      </c>
      <c r="K426">
        <v>265.5</v>
      </c>
      <c r="L426">
        <v>0.15</v>
      </c>
      <c r="M426" t="s">
        <v>47</v>
      </c>
      <c r="N426" t="s">
        <v>44</v>
      </c>
      <c r="O426" t="s">
        <v>44</v>
      </c>
      <c r="P426" t="s">
        <v>44</v>
      </c>
      <c r="Q426" t="s">
        <v>44</v>
      </c>
      <c r="R426">
        <v>1.1499999999999999</v>
      </c>
      <c r="S426" s="5">
        <f t="shared" si="6"/>
        <v>12.36</v>
      </c>
      <c r="T426" t="s">
        <v>44</v>
      </c>
      <c r="U426" t="s">
        <v>44</v>
      </c>
      <c r="V426" t="s">
        <v>48</v>
      </c>
      <c r="W426" t="s">
        <v>44</v>
      </c>
      <c r="X426">
        <v>3</v>
      </c>
      <c r="Y426">
        <v>80</v>
      </c>
      <c r="Z426">
        <v>6</v>
      </c>
      <c r="AA426">
        <v>2000</v>
      </c>
      <c r="AB426" t="s">
        <v>69</v>
      </c>
      <c r="AC426" t="s">
        <v>50</v>
      </c>
      <c r="AD426">
        <v>2</v>
      </c>
      <c r="AE426">
        <v>7.1999999999999995E-2</v>
      </c>
      <c r="AF426">
        <v>0.42799999999999999</v>
      </c>
      <c r="AG426">
        <v>-1830</v>
      </c>
      <c r="AH426">
        <v>-2</v>
      </c>
      <c r="AI426">
        <v>0.23</v>
      </c>
      <c r="AJ426">
        <v>0.379</v>
      </c>
      <c r="AK426">
        <v>-1080</v>
      </c>
      <c r="AL426">
        <v>15</v>
      </c>
      <c r="AM426" t="s">
        <v>44</v>
      </c>
      <c r="AN426">
        <v>13.4</v>
      </c>
      <c r="AO426" t="s">
        <v>76</v>
      </c>
      <c r="AP426">
        <v>1</v>
      </c>
      <c r="AQ426">
        <v>19</v>
      </c>
    </row>
    <row r="427" spans="1:43" x14ac:dyDescent="0.2">
      <c r="A427" t="s">
        <v>42</v>
      </c>
      <c r="B427" t="s">
        <v>43</v>
      </c>
      <c r="C427">
        <v>86.14</v>
      </c>
      <c r="D427" t="s">
        <v>74</v>
      </c>
      <c r="E427" t="s">
        <v>75</v>
      </c>
      <c r="F427">
        <v>200.23</v>
      </c>
      <c r="G427">
        <v>0.43</v>
      </c>
      <c r="H427">
        <v>1</v>
      </c>
      <c r="I427" t="s">
        <v>45</v>
      </c>
      <c r="J427" t="s">
        <v>46</v>
      </c>
      <c r="K427">
        <v>265.5</v>
      </c>
      <c r="L427">
        <v>0.15</v>
      </c>
      <c r="M427" t="s">
        <v>47</v>
      </c>
      <c r="N427" t="s">
        <v>44</v>
      </c>
      <c r="O427" t="s">
        <v>44</v>
      </c>
      <c r="P427" t="s">
        <v>44</v>
      </c>
      <c r="Q427" t="s">
        <v>44</v>
      </c>
      <c r="R427">
        <v>1.1499999999999999</v>
      </c>
      <c r="S427" s="5">
        <f t="shared" si="6"/>
        <v>12.36</v>
      </c>
      <c r="T427" t="s">
        <v>44</v>
      </c>
      <c r="U427" t="s">
        <v>44</v>
      </c>
      <c r="V427" t="s">
        <v>48</v>
      </c>
      <c r="W427" t="s">
        <v>44</v>
      </c>
      <c r="X427">
        <v>3</v>
      </c>
      <c r="Y427">
        <v>80</v>
      </c>
      <c r="Z427">
        <v>6</v>
      </c>
      <c r="AA427">
        <v>2000</v>
      </c>
      <c r="AB427" t="s">
        <v>49</v>
      </c>
      <c r="AC427" t="s">
        <v>50</v>
      </c>
      <c r="AD427">
        <v>1</v>
      </c>
      <c r="AE427">
        <v>0.10199999999999999</v>
      </c>
      <c r="AF427">
        <v>0.35799999999999998</v>
      </c>
      <c r="AG427">
        <v>-365</v>
      </c>
      <c r="AH427">
        <v>-2</v>
      </c>
      <c r="AI427">
        <v>0.23</v>
      </c>
      <c r="AJ427">
        <v>0.379</v>
      </c>
      <c r="AK427">
        <v>-1080</v>
      </c>
      <c r="AL427">
        <v>15</v>
      </c>
      <c r="AM427" t="s">
        <v>44</v>
      </c>
      <c r="AN427">
        <v>13.6</v>
      </c>
      <c r="AO427" t="s">
        <v>76</v>
      </c>
      <c r="AP427">
        <v>1</v>
      </c>
      <c r="AQ427">
        <v>17</v>
      </c>
    </row>
    <row r="428" spans="1:43" x14ac:dyDescent="0.2">
      <c r="A428" t="s">
        <v>77</v>
      </c>
      <c r="B428" t="s">
        <v>78</v>
      </c>
      <c r="C428">
        <v>114.19</v>
      </c>
      <c r="D428" t="s">
        <v>44</v>
      </c>
      <c r="G428" t="s">
        <v>44</v>
      </c>
      <c r="H428">
        <v>2</v>
      </c>
      <c r="I428" t="s">
        <v>45</v>
      </c>
      <c r="J428" t="s">
        <v>46</v>
      </c>
      <c r="K428">
        <v>265.5</v>
      </c>
      <c r="L428">
        <v>0.25</v>
      </c>
      <c r="M428" t="s">
        <v>47</v>
      </c>
      <c r="N428" t="s">
        <v>79</v>
      </c>
      <c r="O428">
        <v>1</v>
      </c>
      <c r="P428" t="s">
        <v>44</v>
      </c>
      <c r="Q428" t="s">
        <v>44</v>
      </c>
      <c r="R428">
        <v>2.25</v>
      </c>
      <c r="S428" s="5">
        <f t="shared" si="6"/>
        <v>18.600000000000001</v>
      </c>
      <c r="T428" t="s">
        <v>44</v>
      </c>
      <c r="U428" t="s">
        <v>44</v>
      </c>
      <c r="V428" t="s">
        <v>48</v>
      </c>
      <c r="W428" t="s">
        <v>44</v>
      </c>
      <c r="X428">
        <v>5</v>
      </c>
      <c r="Y428">
        <v>80</v>
      </c>
      <c r="Z428">
        <v>6</v>
      </c>
      <c r="AA428">
        <v>2000</v>
      </c>
      <c r="AB428" t="s">
        <v>49</v>
      </c>
      <c r="AC428" t="s">
        <v>50</v>
      </c>
      <c r="AD428">
        <v>1</v>
      </c>
      <c r="AE428">
        <v>0.10199999999999999</v>
      </c>
      <c r="AF428">
        <v>0.35799999999999998</v>
      </c>
      <c r="AG428">
        <v>-365</v>
      </c>
      <c r="AH428">
        <v>-2</v>
      </c>
      <c r="AI428">
        <v>0.23</v>
      </c>
      <c r="AJ428">
        <v>0.379</v>
      </c>
      <c r="AK428">
        <v>-1080</v>
      </c>
      <c r="AL428">
        <v>15</v>
      </c>
      <c r="AM428" t="s">
        <v>44</v>
      </c>
      <c r="AN428">
        <v>14</v>
      </c>
      <c r="AO428" t="s">
        <v>80</v>
      </c>
      <c r="AP428">
        <v>1</v>
      </c>
      <c r="AQ428">
        <v>16</v>
      </c>
    </row>
    <row r="429" spans="1:43" x14ac:dyDescent="0.2">
      <c r="A429" t="s">
        <v>42</v>
      </c>
      <c r="B429" t="s">
        <v>43</v>
      </c>
      <c r="C429">
        <v>86.14</v>
      </c>
      <c r="D429" t="s">
        <v>44</v>
      </c>
      <c r="G429" t="s">
        <v>44</v>
      </c>
      <c r="H429">
        <v>0.76100000000000001</v>
      </c>
      <c r="I429" t="s">
        <v>45</v>
      </c>
      <c r="J429" t="s">
        <v>46</v>
      </c>
      <c r="K429">
        <v>265.5</v>
      </c>
      <c r="L429">
        <v>0.25</v>
      </c>
      <c r="M429" t="s">
        <v>47</v>
      </c>
      <c r="N429" t="s">
        <v>44</v>
      </c>
      <c r="O429" t="s">
        <v>44</v>
      </c>
      <c r="P429" t="s">
        <v>44</v>
      </c>
      <c r="Q429" t="s">
        <v>44</v>
      </c>
      <c r="R429">
        <v>1.0109999999999999</v>
      </c>
      <c r="S429" s="5">
        <f t="shared" si="6"/>
        <v>9.3800000000000008</v>
      </c>
      <c r="T429" t="s">
        <v>44</v>
      </c>
      <c r="U429" t="s">
        <v>44</v>
      </c>
      <c r="V429" t="s">
        <v>48</v>
      </c>
      <c r="W429" t="s">
        <v>44</v>
      </c>
      <c r="X429">
        <v>30</v>
      </c>
      <c r="Y429">
        <v>60</v>
      </c>
      <c r="Z429">
        <v>4</v>
      </c>
      <c r="AA429">
        <v>1000</v>
      </c>
      <c r="AB429" t="s">
        <v>150</v>
      </c>
      <c r="AC429" t="s">
        <v>52</v>
      </c>
      <c r="AD429">
        <v>1</v>
      </c>
      <c r="AE429">
        <v>6.9000000000000006E-2</v>
      </c>
      <c r="AF429">
        <v>0.38200000000000001</v>
      </c>
      <c r="AG429">
        <v>-475</v>
      </c>
      <c r="AH429">
        <v>-1</v>
      </c>
      <c r="AI429">
        <v>0.18099999999999999</v>
      </c>
      <c r="AJ429">
        <v>0.33200000000000002</v>
      </c>
      <c r="AK429">
        <v>-340</v>
      </c>
      <c r="AL429">
        <v>30</v>
      </c>
      <c r="AM429" t="s">
        <v>44</v>
      </c>
      <c r="AN429">
        <v>14.1</v>
      </c>
      <c r="AO429" t="s">
        <v>151</v>
      </c>
      <c r="AP429">
        <v>1</v>
      </c>
      <c r="AQ429">
        <v>394</v>
      </c>
    </row>
    <row r="430" spans="1:43" x14ac:dyDescent="0.2">
      <c r="A430" t="s">
        <v>42</v>
      </c>
      <c r="B430" t="s">
        <v>43</v>
      </c>
      <c r="C430">
        <v>86.14</v>
      </c>
      <c r="D430" t="s">
        <v>74</v>
      </c>
      <c r="E430" t="s">
        <v>75</v>
      </c>
      <c r="F430">
        <v>200.23</v>
      </c>
      <c r="G430">
        <v>0.43</v>
      </c>
      <c r="H430">
        <v>1</v>
      </c>
      <c r="I430" t="s">
        <v>45</v>
      </c>
      <c r="J430" t="s">
        <v>46</v>
      </c>
      <c r="K430">
        <v>265.5</v>
      </c>
      <c r="L430">
        <v>0.15</v>
      </c>
      <c r="M430" t="s">
        <v>47</v>
      </c>
      <c r="N430" t="s">
        <v>44</v>
      </c>
      <c r="O430" t="s">
        <v>44</v>
      </c>
      <c r="P430" t="s">
        <v>44</v>
      </c>
      <c r="Q430" t="s">
        <v>44</v>
      </c>
      <c r="R430">
        <v>1.1499999999999999</v>
      </c>
      <c r="S430" s="5">
        <f t="shared" si="6"/>
        <v>12.36</v>
      </c>
      <c r="T430" t="s">
        <v>44</v>
      </c>
      <c r="U430" t="s">
        <v>44</v>
      </c>
      <c r="V430" t="s">
        <v>48</v>
      </c>
      <c r="W430" t="s">
        <v>44</v>
      </c>
      <c r="X430">
        <v>3</v>
      </c>
      <c r="Y430">
        <v>80</v>
      </c>
      <c r="Z430">
        <v>6</v>
      </c>
      <c r="AA430">
        <v>2000</v>
      </c>
      <c r="AB430" t="s">
        <v>49</v>
      </c>
      <c r="AC430" t="s">
        <v>52</v>
      </c>
      <c r="AD430">
        <v>1</v>
      </c>
      <c r="AE430">
        <v>0.10199999999999999</v>
      </c>
      <c r="AF430">
        <v>0.35799999999999998</v>
      </c>
      <c r="AG430">
        <v>-365</v>
      </c>
      <c r="AH430">
        <v>-1</v>
      </c>
      <c r="AI430">
        <v>0.18099999999999999</v>
      </c>
      <c r="AJ430">
        <v>0.33200000000000002</v>
      </c>
      <c r="AK430">
        <v>-340</v>
      </c>
      <c r="AL430">
        <v>15</v>
      </c>
      <c r="AM430" t="s">
        <v>44</v>
      </c>
      <c r="AN430">
        <v>14.7</v>
      </c>
      <c r="AO430" t="s">
        <v>76</v>
      </c>
      <c r="AP430">
        <v>1</v>
      </c>
      <c r="AQ430">
        <v>15</v>
      </c>
    </row>
    <row r="431" spans="1:43" x14ac:dyDescent="0.2">
      <c r="A431" t="s">
        <v>42</v>
      </c>
      <c r="B431" t="s">
        <v>43</v>
      </c>
      <c r="C431">
        <v>86.14</v>
      </c>
      <c r="D431" t="s">
        <v>44</v>
      </c>
      <c r="G431" t="s">
        <v>44</v>
      </c>
      <c r="H431">
        <v>0.38</v>
      </c>
      <c r="I431" t="s">
        <v>45</v>
      </c>
      <c r="J431" t="s">
        <v>46</v>
      </c>
      <c r="K431">
        <v>265.5</v>
      </c>
      <c r="L431">
        <v>0.25</v>
      </c>
      <c r="M431" t="s">
        <v>47</v>
      </c>
      <c r="N431" t="s">
        <v>44</v>
      </c>
      <c r="O431" t="s">
        <v>44</v>
      </c>
      <c r="P431" t="s">
        <v>44</v>
      </c>
      <c r="Q431" t="s">
        <v>44</v>
      </c>
      <c r="R431">
        <v>0.63</v>
      </c>
      <c r="S431" s="5">
        <f t="shared" si="6"/>
        <v>4.68</v>
      </c>
      <c r="T431" t="s">
        <v>44</v>
      </c>
      <c r="U431" t="s">
        <v>44</v>
      </c>
      <c r="V431" t="s">
        <v>48</v>
      </c>
      <c r="W431" t="s">
        <v>44</v>
      </c>
      <c r="X431">
        <v>30</v>
      </c>
      <c r="Y431">
        <v>60</v>
      </c>
      <c r="Z431">
        <v>4</v>
      </c>
      <c r="AA431">
        <v>1000</v>
      </c>
      <c r="AB431" t="s">
        <v>150</v>
      </c>
      <c r="AC431" t="s">
        <v>52</v>
      </c>
      <c r="AD431">
        <v>1</v>
      </c>
      <c r="AE431">
        <v>6.9000000000000006E-2</v>
      </c>
      <c r="AF431">
        <v>0.38200000000000001</v>
      </c>
      <c r="AG431">
        <v>-475</v>
      </c>
      <c r="AH431">
        <v>-1</v>
      </c>
      <c r="AI431">
        <v>0.18099999999999999</v>
      </c>
      <c r="AJ431">
        <v>0.33200000000000002</v>
      </c>
      <c r="AK431">
        <v>-340</v>
      </c>
      <c r="AL431">
        <v>30</v>
      </c>
      <c r="AM431" t="s">
        <v>44</v>
      </c>
      <c r="AN431">
        <v>16.3</v>
      </c>
      <c r="AO431" t="s">
        <v>151</v>
      </c>
      <c r="AP431">
        <v>1</v>
      </c>
      <c r="AQ431">
        <v>393</v>
      </c>
    </row>
    <row r="432" spans="1:43" x14ac:dyDescent="0.2">
      <c r="A432" t="s">
        <v>54</v>
      </c>
      <c r="B432" t="s">
        <v>55</v>
      </c>
      <c r="C432">
        <v>108.14</v>
      </c>
      <c r="D432" t="s">
        <v>44</v>
      </c>
      <c r="G432" t="s">
        <v>44</v>
      </c>
      <c r="H432">
        <v>0.1</v>
      </c>
      <c r="I432" t="s">
        <v>56</v>
      </c>
      <c r="J432" t="s">
        <v>57</v>
      </c>
      <c r="K432">
        <v>203.02</v>
      </c>
      <c r="L432">
        <v>0.1</v>
      </c>
      <c r="M432" t="s">
        <v>47</v>
      </c>
      <c r="N432" t="s">
        <v>44</v>
      </c>
      <c r="O432" t="s">
        <v>44</v>
      </c>
      <c r="P432" t="s">
        <v>44</v>
      </c>
      <c r="Q432" t="s">
        <v>44</v>
      </c>
      <c r="R432">
        <v>0.2</v>
      </c>
      <c r="S432" s="5">
        <f t="shared" si="6"/>
        <v>1.88</v>
      </c>
      <c r="T432" t="s">
        <v>44</v>
      </c>
      <c r="U432" t="s">
        <v>44</v>
      </c>
      <c r="V432" t="s">
        <v>48</v>
      </c>
      <c r="W432" t="s">
        <v>44</v>
      </c>
      <c r="X432">
        <v>5</v>
      </c>
      <c r="Y432">
        <v>80</v>
      </c>
      <c r="Z432">
        <v>10.3</v>
      </c>
      <c r="AA432">
        <v>1000</v>
      </c>
      <c r="AB432" t="s">
        <v>49</v>
      </c>
      <c r="AC432" t="s">
        <v>50</v>
      </c>
      <c r="AD432">
        <v>1</v>
      </c>
      <c r="AE432">
        <v>0.10199999999999999</v>
      </c>
      <c r="AF432">
        <v>0.35799999999999998</v>
      </c>
      <c r="AG432">
        <v>-365</v>
      </c>
      <c r="AH432">
        <v>-2</v>
      </c>
      <c r="AI432">
        <v>0.23</v>
      </c>
      <c r="AJ432">
        <v>0.379</v>
      </c>
      <c r="AK432">
        <v>-1080</v>
      </c>
      <c r="AL432">
        <v>90</v>
      </c>
      <c r="AM432" t="s">
        <v>44</v>
      </c>
      <c r="AN432">
        <v>22.5</v>
      </c>
      <c r="AO432" t="s">
        <v>58</v>
      </c>
      <c r="AP432">
        <v>1</v>
      </c>
      <c r="AQ43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Nohyeong Jeong</dc:creator>
  <cp:lastModifiedBy>Nohyeong Jeong</cp:lastModifiedBy>
  <dcterms:created xsi:type="dcterms:W3CDTF">2026-01-07T02:58:24Z</dcterms:created>
  <dcterms:modified xsi:type="dcterms:W3CDTF">2026-04-14T02:58:38Z</dcterms:modified>
</cp:coreProperties>
</file>